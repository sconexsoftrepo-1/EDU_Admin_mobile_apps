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caaf740eb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s" sheetId="1" r:id="Rc3039521d1ea4a32"/>
    <x:sheet xmlns:r="http://schemas.openxmlformats.org/officeDocument/2006/relationships" name="Payments" sheetId="2" r:id="Rac8d6e3d69024c00"/>
    <x:sheet xmlns:r="http://schemas.openxmlformats.org/officeDocument/2006/relationships" name="Allocations" sheetId="3" r:id="R977f2d73f4794c2f"/>
    <x:sheet xmlns:r="http://schemas.openxmlformats.org/officeDocument/2006/relationships" name="Guide" sheetId="4" r:id="R2d80fa21aea7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#,##0.00;[Red](#,##0.00);0.0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203" fontId="1" fillId="3" borderId="1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3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A2929"/>
      </x:font>
    </x:dxf>
    <x:dxf>
      <x:font>
        <x:b/>
        <x:color rgb="FF9A292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c7f409a040e7" /><Relationship Type="http://schemas.openxmlformats.org/officeDocument/2006/relationships/theme" Target="/xl/theme/theme1.xml" Id="Rdac7e879baf8434e" /><Relationship Type="http://schemas.openxmlformats.org/officeDocument/2006/relationships/sharedStrings" Target="/xl/sharedStrings.xml" Id="Rb12bd4c9410646a4" /><Relationship Type="http://schemas.openxmlformats.org/officeDocument/2006/relationships/worksheet" Target="/xl/worksheets/sheet1.xml" Id="Rc3039521d1ea4a32" /><Relationship Type="http://schemas.openxmlformats.org/officeDocument/2006/relationships/worksheet" Target="/xl/worksheets/sheet2.xml" Id="Rac8d6e3d69024c00" /><Relationship Type="http://schemas.openxmlformats.org/officeDocument/2006/relationships/worksheet" Target="/xl/worksheets/sheet3.xml" Id="R977f2d73f4794c2f" /><Relationship Type="http://schemas.openxmlformats.org/officeDocument/2006/relationships/worksheet" Target="/xl/worksheets/sheet4.xml" Id="R2d80fa21aea74614" /></Relationships>
</file>

<file path=xl/tables/table1.xml><?xml version="1.0" encoding="utf-8"?>
<x:table xmlns:x="http://schemas.openxmlformats.org/spreadsheetml/2006/main" id="1" name="Data_09_Charges" displayName="Data_09_Charges" ref="A6:T206" headerRowCount="1" totalsRowCount="0" totalsRowShown="0">
  <x:tableColumns count="20">
    <x:tableColumn id="1" name="Charge code *"/>
    <x:tableColumn id="2" name="Student code *"/>
    <x:tableColumn id="3" name="Fee structure line code *"/>
    <x:tableColumn id="4" name="Fee head code *"/>
    <x:tableColumn id="5" name="Academic year *"/>
    <x:tableColumn id="6" name="Installment number *"/>
    <x:tableColumn id="7" name="Due date *"/>
    <x:tableColumn id="8" name="Base amount *"/>
    <x:tableColumn id="9" name="Discount or waiver"/>
    <x:tableColumn id="10" name="Scholarship award code"/>
    <x:tableColumn id="11" name="Scholarship applied"/>
    <x:tableColumn id="12" name="Fine amount"/>
    <x:tableColumn id="13" name="Tax amount"/>
    <x:tableColumn id="14" name="Currency *"/>
    <x:tableColumn id="15" name="Adjustment approval reference"/>
    <x:tableColumn id="16" name="Charge notes"/>
    <x:tableColumn id="17" name="Gross before scholarship"/>
    <x:tableColumn id="18" name="Net payable after scholarship"/>
    <x:tableColumn id="19" name="Settled payment allocated"/>
    <x:tableColumn id="20" name="Outstanding balan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09_Payments" displayName="Data_09_Payments" ref="A6:L206" headerRowCount="1" totalsRowCount="0" totalsRowShown="0">
  <x:tableColumns count="12">
    <x:tableColumn id="1" name="Payment code *"/>
    <x:tableColumn id="2" name="Student code *"/>
    <x:tableColumn id="3" name="Payment date *"/>
    <x:tableColumn id="4" name="Payment amount *"/>
    <x:tableColumn id="5" name="Currency *"/>
    <x:tableColumn id="6" name="Payment method *"/>
    <x:tableColumn id="7" name="Transaction reference"/>
    <x:tableColumn id="8" name="Payment status *"/>
    <x:tableColumn id="9" name="Receipt number"/>
    <x:tableColumn id="10" name="Receipt date"/>
    <x:tableColumn id="11" name="Received by employee"/>
    <x:tableColumn id="12" name="Payment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_09_Allocations" displayName="Data_09_Allocations" ref="A6:F206" headerRowCount="1" totalsRowCount="0" totalsRowShown="0">
  <x:tableColumns count="6">
    <x:tableColumn id="1" name="Allocation code *"/>
    <x:tableColumn id="2" name="Payment code *"/>
    <x:tableColumn id="3" name="Charge code *"/>
    <x:tableColumn id="4" name="Allocated amount *"/>
    <x:tableColumn id="5" name="Allocation notes"/>
    <x:tableColumn id="6" name="Settled allocated amoun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448f5942744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43ddd5009845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d9376767604b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40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4" t="str">
        <x:v>Charges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5" customHeight="1">
      <x:c r="A3" s="3" t="str">
        <x:v>One row per student fee head and installment charge.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 ht="24" customHeight="1">
      <x:c r="A5" s="7" t="str">
        <x:v>Identity</x:v>
      </x:c>
      <x:c r="B5" s="7" t="str">
        <x:v>Student</x:v>
      </x:c>
      <x:c r="C5" s="7" t="str">
        <x:v>Schedule</x:v>
      </x:c>
      <x:c r="D5" s="7"/>
      <x:c r="E5" s="7"/>
      <x:c r="F5" s="7"/>
      <x:c r="G5" s="7"/>
      <x:c r="H5" s="7" t="str">
        <x:v>Amounts</x:v>
      </x:c>
      <x:c r="I5" s="7"/>
      <x:c r="J5" s="7"/>
      <x:c r="K5" s="7"/>
      <x:c r="L5" s="7"/>
      <x:c r="M5" s="7"/>
      <x:c r="N5" s="7"/>
      <x:c r="O5" s="7" t="str">
        <x:v>Approval</x:v>
      </x:c>
      <x:c r="P5" s="7" t="str">
        <x:v>Notes</x:v>
      </x:c>
      <x:c r="Q5" s="7" t="str">
        <x:v>Calculated</x:v>
      </x:c>
      <x:c r="R5" s="7"/>
      <x:c r="S5" s="7"/>
      <x:c r="T5" s="7"/>
    </x:row>
    <x:row r="6" ht="46" customHeight="1">
      <x:c r="A6" s="28" t="str">
        <x:v>Charge code *</x:v>
      </x:c>
      <x:c r="B6" s="29" t="str">
        <x:v>Student code *</x:v>
      </x:c>
      <x:c r="C6" s="29" t="str">
        <x:v>Fee structure line code *</x:v>
      </x:c>
      <x:c r="D6" s="29" t="str">
        <x:v>Fee head code *</x:v>
      </x:c>
      <x:c r="E6" s="29" t="str">
        <x:v>Academic year *</x:v>
      </x:c>
      <x:c r="F6" s="29" t="str">
        <x:v>Installment number *</x:v>
      </x:c>
      <x:c r="G6" s="29" t="str">
        <x:v>Due date *</x:v>
      </x:c>
      <x:c r="H6" s="29" t="str">
        <x:v>Base amount *</x:v>
      </x:c>
      <x:c r="I6" s="29" t="str">
        <x:v>Discount or waiver</x:v>
      </x:c>
      <x:c r="J6" s="29" t="str">
        <x:v>Scholarship award code</x:v>
      </x:c>
      <x:c r="K6" s="29" t="str">
        <x:v>Scholarship applied</x:v>
      </x:c>
      <x:c r="L6" s="29" t="str">
        <x:v>Fine amount</x:v>
      </x:c>
      <x:c r="M6" s="29" t="str">
        <x:v>Tax amount</x:v>
      </x:c>
      <x:c r="N6" s="29" t="str">
        <x:v>Currency *</x:v>
      </x:c>
      <x:c r="O6" s="29" t="str">
        <x:v>Adjustment approval reference</x:v>
      </x:c>
      <x:c r="P6" s="29" t="str">
        <x:v>Charge notes</x:v>
      </x:c>
      <x:c r="Q6" s="29" t="str">
        <x:v>Gross before scholarship</x:v>
      </x:c>
      <x:c r="R6" s="29" t="str">
        <x:v>Net payable after scholarship</x:v>
      </x:c>
      <x:c r="S6" s="29" t="str">
        <x:v>Settled payment allocated</x:v>
      </x:c>
      <x:c r="T6" s="30" t="str">
        <x:v>Outstanding balance</x:v>
      </x:c>
    </x:row>
    <x:row r="7" ht="25" customHeight="1">
      <x:c r="A7" s="12"/>
      <x:c r="B7" s="12"/>
      <x:c r="C7" s="12"/>
      <x:c r="D7" s="12"/>
      <x:c r="E7" s="12"/>
      <x:c r="F7" s="13"/>
      <x:c r="G7" s="14"/>
      <x:c r="H7" s="15"/>
      <x:c r="I7" s="15"/>
      <x:c r="J7" s="12"/>
      <x:c r="K7" s="15"/>
      <x:c r="L7" s="15"/>
      <x:c r="M7" s="15"/>
      <x:c r="N7" s="12"/>
      <x:c r="O7" s="12"/>
      <x:c r="P7" s="12"/>
      <x:c r="Q7" s="31" t="str">
        <x:f>IF(A7="","",IF(ISNUMBER(H7),IF(COUNT(I7,L7,M7)=COUNTA(I7,L7,M7),ROUND(H7-SUM(I7)+SUM(L7)+SUM(M7),2),"Review amounts"),IF(ISBLANK(H7),"","Review amounts")))</x:f>
      </x:c>
      <x:c r="R7" s="31" t="str">
        <x:f>IF(ISNUMBER(Q7),IF(OR(ISBLANK(K7),ISNUMBER(K7)),ROUND(Q7-SUM(K7),2),"Review amounts"),Q7)</x:f>
      </x:c>
      <x:c r="S7" s="31" t="str">
        <x:f>IF(ISNUMBER(R7),IF(COUNTIFS(Allocations!$C$7:$C$206,A7,Allocations!$F$7:$F$206,"Review allocation")&gt;0,"Review allocation",SUMIF(Allocations!$C$7:$C$206,A7,Allocations!$F$7:$F$206)),R7)</x:f>
      </x:c>
      <x:c r="T7" s="31" t="str">
        <x:f>IF(ISNUMBER(R7),IF(ISNUMBER(S7),ROUND(R7-S7,2),S7),R7)</x:f>
      </x:c>
    </x:row>
    <x:row r="8" ht="25" customHeight="1">
      <x:c r="A8" s="16"/>
      <x:c r="B8" s="16"/>
      <x:c r="C8" s="16"/>
      <x:c r="D8" s="16"/>
      <x:c r="E8" s="16"/>
      <x:c r="F8" s="17"/>
      <x:c r="G8" s="18"/>
      <x:c r="H8" s="19"/>
      <x:c r="I8" s="19"/>
      <x:c r="J8" s="16"/>
      <x:c r="K8" s="19"/>
      <x:c r="L8" s="19"/>
      <x:c r="M8" s="19"/>
      <x:c r="N8" s="16"/>
      <x:c r="O8" s="16"/>
      <x:c r="P8" s="16"/>
      <x:c r="Q8" s="32" t="str">
        <x:f>IF(A8="","",IF(ISNUMBER(H8),IF(COUNT(I8,L8,M8)=COUNTA(I8,L8,M8),ROUND(H8-SUM(I8)+SUM(L8)+SUM(M8),2),"Review amounts"),IF(ISBLANK(H8),"","Review amounts")))</x:f>
      </x:c>
      <x:c r="R8" s="32" t="str">
        <x:f>IF(ISNUMBER(Q8),IF(OR(ISBLANK(K8),ISNUMBER(K8)),ROUND(Q8-SUM(K8),2),"Review amounts"),Q8)</x:f>
      </x:c>
      <x:c r="S8" s="32" t="str">
        <x:f>IF(ISNUMBER(R8),IF(COUNTIFS(Allocations!$C$7:$C$206,A8,Allocations!$F$7:$F$206,"Review allocation")&gt;0,"Review allocation",SUMIF(Allocations!$C$7:$C$206,A8,Allocations!$F$7:$F$206)),R8)</x:f>
      </x:c>
      <x:c r="T8" s="32" t="str">
        <x:f>IF(ISNUMBER(R8),IF(ISNUMBER(S8),ROUND(R8-S8,2),S8),R8)</x:f>
      </x:c>
    </x:row>
    <x:row r="9" ht="25" customHeight="1">
      <x:c r="A9" s="16"/>
      <x:c r="B9" s="16"/>
      <x:c r="C9" s="16"/>
      <x:c r="D9" s="16"/>
      <x:c r="E9" s="16"/>
      <x:c r="F9" s="17"/>
      <x:c r="G9" s="18"/>
      <x:c r="H9" s="19"/>
      <x:c r="I9" s="19"/>
      <x:c r="J9" s="16"/>
      <x:c r="K9" s="19"/>
      <x:c r="L9" s="19"/>
      <x:c r="M9" s="19"/>
      <x:c r="N9" s="16"/>
      <x:c r="O9" s="16"/>
      <x:c r="P9" s="16"/>
      <x:c r="Q9" s="32" t="str">
        <x:f>IF(A9="","",IF(ISNUMBER(H9),IF(COUNT(I9,L9,M9)=COUNTA(I9,L9,M9),ROUND(H9-SUM(I9)+SUM(L9)+SUM(M9),2),"Review amounts"),IF(ISBLANK(H9),"","Review amounts")))</x:f>
      </x:c>
      <x:c r="R9" s="32" t="str">
        <x:f>IF(ISNUMBER(Q9),IF(OR(ISBLANK(K9),ISNUMBER(K9)),ROUND(Q9-SUM(K9),2),"Review amounts"),Q9)</x:f>
      </x:c>
      <x:c r="S9" s="32" t="str">
        <x:f>IF(ISNUMBER(R9),IF(COUNTIFS(Allocations!$C$7:$C$206,A9,Allocations!$F$7:$F$206,"Review allocation")&gt;0,"Review allocation",SUMIF(Allocations!$C$7:$C$206,A9,Allocations!$F$7:$F$206)),R9)</x:f>
      </x:c>
      <x:c r="T9" s="32" t="str">
        <x:f>IF(ISNUMBER(R9),IF(ISNUMBER(S9),ROUND(R9-S9,2),S9),R9)</x:f>
      </x:c>
    </x:row>
    <x:row r="10" ht="25" customHeight="1">
      <x:c r="A10" s="16"/>
      <x:c r="B10" s="16"/>
      <x:c r="C10" s="16"/>
      <x:c r="D10" s="16"/>
      <x:c r="E10" s="16"/>
      <x:c r="F10" s="17"/>
      <x:c r="G10" s="18"/>
      <x:c r="H10" s="19"/>
      <x:c r="I10" s="19"/>
      <x:c r="J10" s="16"/>
      <x:c r="K10" s="19"/>
      <x:c r="L10" s="19"/>
      <x:c r="M10" s="19"/>
      <x:c r="N10" s="16"/>
      <x:c r="O10" s="16"/>
      <x:c r="P10" s="16"/>
      <x:c r="Q10" s="32" t="str">
        <x:f>IF(A10="","",IF(ISNUMBER(H10),IF(COUNT(I10,L10,M10)=COUNTA(I10,L10,M10),ROUND(H10-SUM(I10)+SUM(L10)+SUM(M10),2),"Review amounts"),IF(ISBLANK(H10),"","Review amounts")))</x:f>
      </x:c>
      <x:c r="R10" s="32" t="str">
        <x:f>IF(ISNUMBER(Q10),IF(OR(ISBLANK(K10),ISNUMBER(K10)),ROUND(Q10-SUM(K10),2),"Review amounts"),Q10)</x:f>
      </x:c>
      <x:c r="S10" s="32" t="str">
        <x:f>IF(ISNUMBER(R10),IF(COUNTIFS(Allocations!$C$7:$C$206,A10,Allocations!$F$7:$F$206,"Review allocation")&gt;0,"Review allocation",SUMIF(Allocations!$C$7:$C$206,A10,Allocations!$F$7:$F$206)),R10)</x:f>
      </x:c>
      <x:c r="T10" s="32" t="str">
        <x:f>IF(ISNUMBER(R10),IF(ISNUMBER(S10),ROUND(R10-S10,2),S10),R10)</x:f>
      </x:c>
    </x:row>
    <x:row r="11" ht="25" customHeight="1">
      <x:c r="A11" s="16"/>
      <x:c r="B11" s="16"/>
      <x:c r="C11" s="16"/>
      <x:c r="D11" s="16"/>
      <x:c r="E11" s="16"/>
      <x:c r="F11" s="17"/>
      <x:c r="G11" s="18"/>
      <x:c r="H11" s="19"/>
      <x:c r="I11" s="19"/>
      <x:c r="J11" s="16"/>
      <x:c r="K11" s="19"/>
      <x:c r="L11" s="19"/>
      <x:c r="M11" s="19"/>
      <x:c r="N11" s="16"/>
      <x:c r="O11" s="16"/>
      <x:c r="P11" s="16"/>
      <x:c r="Q11" s="32" t="str">
        <x:f>IF(A11="","",IF(ISNUMBER(H11),IF(COUNT(I11,L11,M11)=COUNTA(I11,L11,M11),ROUND(H11-SUM(I11)+SUM(L11)+SUM(M11),2),"Review amounts"),IF(ISBLANK(H11),"","Review amounts")))</x:f>
      </x:c>
      <x:c r="R11" s="32" t="str">
        <x:f>IF(ISNUMBER(Q11),IF(OR(ISBLANK(K11),ISNUMBER(K11)),ROUND(Q11-SUM(K11),2),"Review amounts"),Q11)</x:f>
      </x:c>
      <x:c r="S11" s="32" t="str">
        <x:f>IF(ISNUMBER(R11),IF(COUNTIFS(Allocations!$C$7:$C$206,A11,Allocations!$F$7:$F$206,"Review allocation")&gt;0,"Review allocation",SUMIF(Allocations!$C$7:$C$206,A11,Allocations!$F$7:$F$206)),R11)</x:f>
      </x:c>
      <x:c r="T11" s="32" t="str">
        <x:f>IF(ISNUMBER(R11),IF(ISNUMBER(S11),ROUND(R11-S11,2),S11),R11)</x:f>
      </x:c>
    </x:row>
    <x:row r="12" ht="25" customHeight="1">
      <x:c r="A12" s="16"/>
      <x:c r="B12" s="16"/>
      <x:c r="C12" s="16"/>
      <x:c r="D12" s="16"/>
      <x:c r="E12" s="16"/>
      <x:c r="F12" s="17"/>
      <x:c r="G12" s="18"/>
      <x:c r="H12" s="19"/>
      <x:c r="I12" s="19"/>
      <x:c r="J12" s="16"/>
      <x:c r="K12" s="19"/>
      <x:c r="L12" s="19"/>
      <x:c r="M12" s="19"/>
      <x:c r="N12" s="16"/>
      <x:c r="O12" s="16"/>
      <x:c r="P12" s="16"/>
      <x:c r="Q12" s="32" t="str">
        <x:f>IF(A12="","",IF(ISNUMBER(H12),IF(COUNT(I12,L12,M12)=COUNTA(I12,L12,M12),ROUND(H12-SUM(I12)+SUM(L12)+SUM(M12),2),"Review amounts"),IF(ISBLANK(H12),"","Review amounts")))</x:f>
      </x:c>
      <x:c r="R12" s="32" t="str">
        <x:f>IF(ISNUMBER(Q12),IF(OR(ISBLANK(K12),ISNUMBER(K12)),ROUND(Q12-SUM(K12),2),"Review amounts"),Q12)</x:f>
      </x:c>
      <x:c r="S12" s="32" t="str">
        <x:f>IF(ISNUMBER(R12),IF(COUNTIFS(Allocations!$C$7:$C$206,A12,Allocations!$F$7:$F$206,"Review allocation")&gt;0,"Review allocation",SUMIF(Allocations!$C$7:$C$206,A12,Allocations!$F$7:$F$206)),R12)</x:f>
      </x:c>
      <x:c r="T12" s="32" t="str">
        <x:f>IF(ISNUMBER(R12),IF(ISNUMBER(S12),ROUND(R12-S12,2),S12),R12)</x:f>
      </x:c>
    </x:row>
    <x:row r="13" ht="25" customHeight="1">
      <x:c r="A13" s="16"/>
      <x:c r="B13" s="16"/>
      <x:c r="C13" s="16"/>
      <x:c r="D13" s="16"/>
      <x:c r="E13" s="16"/>
      <x:c r="F13" s="17"/>
      <x:c r="G13" s="18"/>
      <x:c r="H13" s="19"/>
      <x:c r="I13" s="19"/>
      <x:c r="J13" s="16"/>
      <x:c r="K13" s="19"/>
      <x:c r="L13" s="19"/>
      <x:c r="M13" s="19"/>
      <x:c r="N13" s="16"/>
      <x:c r="O13" s="16"/>
      <x:c r="P13" s="16"/>
      <x:c r="Q13" s="32" t="str">
        <x:f>IF(A13="","",IF(ISNUMBER(H13),IF(COUNT(I13,L13,M13)=COUNTA(I13,L13,M13),ROUND(H13-SUM(I13)+SUM(L13)+SUM(M13),2),"Review amounts"),IF(ISBLANK(H13),"","Review amounts")))</x:f>
      </x:c>
      <x:c r="R13" s="32" t="str">
        <x:f>IF(ISNUMBER(Q13),IF(OR(ISBLANK(K13),ISNUMBER(K13)),ROUND(Q13-SUM(K13),2),"Review amounts"),Q13)</x:f>
      </x:c>
      <x:c r="S13" s="32" t="str">
        <x:f>IF(ISNUMBER(R13),IF(COUNTIFS(Allocations!$C$7:$C$206,A13,Allocations!$F$7:$F$206,"Review allocation")&gt;0,"Review allocation",SUMIF(Allocations!$C$7:$C$206,A13,Allocations!$F$7:$F$206)),R13)</x:f>
      </x:c>
      <x:c r="T13" s="32" t="str">
        <x:f>IF(ISNUMBER(R13),IF(ISNUMBER(S13),ROUND(R13-S13,2),S13),R13)</x:f>
      </x:c>
    </x:row>
    <x:row r="14" ht="25" customHeight="1">
      <x:c r="A14" s="16"/>
      <x:c r="B14" s="16"/>
      <x:c r="C14" s="16"/>
      <x:c r="D14" s="16"/>
      <x:c r="E14" s="16"/>
      <x:c r="F14" s="17"/>
      <x:c r="G14" s="18"/>
      <x:c r="H14" s="19"/>
      <x:c r="I14" s="19"/>
      <x:c r="J14" s="16"/>
      <x:c r="K14" s="19"/>
      <x:c r="L14" s="19"/>
      <x:c r="M14" s="19"/>
      <x:c r="N14" s="16"/>
      <x:c r="O14" s="16"/>
      <x:c r="P14" s="16"/>
      <x:c r="Q14" s="32" t="str">
        <x:f>IF(A14="","",IF(ISNUMBER(H14),IF(COUNT(I14,L14,M14)=COUNTA(I14,L14,M14),ROUND(H14-SUM(I14)+SUM(L14)+SUM(M14),2),"Review amounts"),IF(ISBLANK(H14),"","Review amounts")))</x:f>
      </x:c>
      <x:c r="R14" s="32" t="str">
        <x:f>IF(ISNUMBER(Q14),IF(OR(ISBLANK(K14),ISNUMBER(K14)),ROUND(Q14-SUM(K14),2),"Review amounts"),Q14)</x:f>
      </x:c>
      <x:c r="S14" s="32" t="str">
        <x:f>IF(ISNUMBER(R14),IF(COUNTIFS(Allocations!$C$7:$C$206,A14,Allocations!$F$7:$F$206,"Review allocation")&gt;0,"Review allocation",SUMIF(Allocations!$C$7:$C$206,A14,Allocations!$F$7:$F$206)),R14)</x:f>
      </x:c>
      <x:c r="T14" s="32" t="str">
        <x:f>IF(ISNUMBER(R14),IF(ISNUMBER(S14),ROUND(R14-S14,2),S14),R14)</x:f>
      </x:c>
    </x:row>
    <x:row r="15" ht="25" customHeight="1">
      <x:c r="A15" s="16"/>
      <x:c r="B15" s="16"/>
      <x:c r="C15" s="16"/>
      <x:c r="D15" s="16"/>
      <x:c r="E15" s="16"/>
      <x:c r="F15" s="17"/>
      <x:c r="G15" s="18"/>
      <x:c r="H15" s="19"/>
      <x:c r="I15" s="19"/>
      <x:c r="J15" s="16"/>
      <x:c r="K15" s="19"/>
      <x:c r="L15" s="19"/>
      <x:c r="M15" s="19"/>
      <x:c r="N15" s="16"/>
      <x:c r="O15" s="16"/>
      <x:c r="P15" s="16"/>
      <x:c r="Q15" s="32" t="str">
        <x:f>IF(A15="","",IF(ISNUMBER(H15),IF(COUNT(I15,L15,M15)=COUNTA(I15,L15,M15),ROUND(H15-SUM(I15)+SUM(L15)+SUM(M15),2),"Review amounts"),IF(ISBLANK(H15),"","Review amounts")))</x:f>
      </x:c>
      <x:c r="R15" s="32" t="str">
        <x:f>IF(ISNUMBER(Q15),IF(OR(ISBLANK(K15),ISNUMBER(K15)),ROUND(Q15-SUM(K15),2),"Review amounts"),Q15)</x:f>
      </x:c>
      <x:c r="S15" s="32" t="str">
        <x:f>IF(ISNUMBER(R15),IF(COUNTIFS(Allocations!$C$7:$C$206,A15,Allocations!$F$7:$F$206,"Review allocation")&gt;0,"Review allocation",SUMIF(Allocations!$C$7:$C$206,A15,Allocations!$F$7:$F$206)),R15)</x:f>
      </x:c>
      <x:c r="T15" s="32" t="str">
        <x:f>IF(ISNUMBER(R15),IF(ISNUMBER(S15),ROUND(R15-S15,2),S15),R15)</x:f>
      </x:c>
    </x:row>
    <x:row r="16" ht="25" customHeight="1">
      <x:c r="A16" s="16"/>
      <x:c r="B16" s="16"/>
      <x:c r="C16" s="16"/>
      <x:c r="D16" s="16"/>
      <x:c r="E16" s="16"/>
      <x:c r="F16" s="17"/>
      <x:c r="G16" s="18"/>
      <x:c r="H16" s="19"/>
      <x:c r="I16" s="19"/>
      <x:c r="J16" s="16"/>
      <x:c r="K16" s="19"/>
      <x:c r="L16" s="19"/>
      <x:c r="M16" s="19"/>
      <x:c r="N16" s="16"/>
      <x:c r="O16" s="16"/>
      <x:c r="P16" s="16"/>
      <x:c r="Q16" s="32" t="str">
        <x:f>IF(A16="","",IF(ISNUMBER(H16),IF(COUNT(I16,L16,M16)=COUNTA(I16,L16,M16),ROUND(H16-SUM(I16)+SUM(L16)+SUM(M16),2),"Review amounts"),IF(ISBLANK(H16),"","Review amounts")))</x:f>
      </x:c>
      <x:c r="R16" s="32" t="str">
        <x:f>IF(ISNUMBER(Q16),IF(OR(ISBLANK(K16),ISNUMBER(K16)),ROUND(Q16-SUM(K16),2),"Review amounts"),Q16)</x:f>
      </x:c>
      <x:c r="S16" s="32" t="str">
        <x:f>IF(ISNUMBER(R16),IF(COUNTIFS(Allocations!$C$7:$C$206,A16,Allocations!$F$7:$F$206,"Review allocation")&gt;0,"Review allocation",SUMIF(Allocations!$C$7:$C$206,A16,Allocations!$F$7:$F$206)),R16)</x:f>
      </x:c>
      <x:c r="T16" s="32" t="str">
        <x:f>IF(ISNUMBER(R16),IF(ISNUMBER(S16),ROUND(R16-S16,2),S16),R16)</x:f>
      </x:c>
    </x:row>
    <x:row r="17" ht="25" customHeight="1">
      <x:c r="A17" s="16"/>
      <x:c r="B17" s="16"/>
      <x:c r="C17" s="16"/>
      <x:c r="D17" s="16"/>
      <x:c r="E17" s="16"/>
      <x:c r="F17" s="17"/>
      <x:c r="G17" s="18"/>
      <x:c r="H17" s="19"/>
      <x:c r="I17" s="19"/>
      <x:c r="J17" s="16"/>
      <x:c r="K17" s="19"/>
      <x:c r="L17" s="19"/>
      <x:c r="M17" s="19"/>
      <x:c r="N17" s="16"/>
      <x:c r="O17" s="16"/>
      <x:c r="P17" s="16"/>
      <x:c r="Q17" s="32" t="str">
        <x:f>IF(A17="","",IF(ISNUMBER(H17),IF(COUNT(I17,L17,M17)=COUNTA(I17,L17,M17),ROUND(H17-SUM(I17)+SUM(L17)+SUM(M17),2),"Review amounts"),IF(ISBLANK(H17),"","Review amounts")))</x:f>
      </x:c>
      <x:c r="R17" s="32" t="str">
        <x:f>IF(ISNUMBER(Q17),IF(OR(ISBLANK(K17),ISNUMBER(K17)),ROUND(Q17-SUM(K17),2),"Review amounts"),Q17)</x:f>
      </x:c>
      <x:c r="S17" s="32" t="str">
        <x:f>IF(ISNUMBER(R17),IF(COUNTIFS(Allocations!$C$7:$C$206,A17,Allocations!$F$7:$F$206,"Review allocation")&gt;0,"Review allocation",SUMIF(Allocations!$C$7:$C$206,A17,Allocations!$F$7:$F$206)),R17)</x:f>
      </x:c>
      <x:c r="T17" s="32" t="str">
        <x:f>IF(ISNUMBER(R17),IF(ISNUMBER(S17),ROUND(R17-S17,2),S17),R17)</x:f>
      </x:c>
    </x:row>
    <x:row r="18" ht="25" customHeight="1">
      <x:c r="A18" s="16"/>
      <x:c r="B18" s="16"/>
      <x:c r="C18" s="16"/>
      <x:c r="D18" s="16"/>
      <x:c r="E18" s="16"/>
      <x:c r="F18" s="17"/>
      <x:c r="G18" s="18"/>
      <x:c r="H18" s="19"/>
      <x:c r="I18" s="19"/>
      <x:c r="J18" s="16"/>
      <x:c r="K18" s="19"/>
      <x:c r="L18" s="19"/>
      <x:c r="M18" s="19"/>
      <x:c r="N18" s="16"/>
      <x:c r="O18" s="16"/>
      <x:c r="P18" s="16"/>
      <x:c r="Q18" s="32" t="str">
        <x:f>IF(A18="","",IF(ISNUMBER(H18),IF(COUNT(I18,L18,M18)=COUNTA(I18,L18,M18),ROUND(H18-SUM(I18)+SUM(L18)+SUM(M18),2),"Review amounts"),IF(ISBLANK(H18),"","Review amounts")))</x:f>
      </x:c>
      <x:c r="R18" s="32" t="str">
        <x:f>IF(ISNUMBER(Q18),IF(OR(ISBLANK(K18),ISNUMBER(K18)),ROUND(Q18-SUM(K18),2),"Review amounts"),Q18)</x:f>
      </x:c>
      <x:c r="S18" s="32" t="str">
        <x:f>IF(ISNUMBER(R18),IF(COUNTIFS(Allocations!$C$7:$C$206,A18,Allocations!$F$7:$F$206,"Review allocation")&gt;0,"Review allocation",SUMIF(Allocations!$C$7:$C$206,A18,Allocations!$F$7:$F$206)),R18)</x:f>
      </x:c>
      <x:c r="T18" s="32" t="str">
        <x:f>IF(ISNUMBER(R18),IF(ISNUMBER(S18),ROUND(R18-S18,2),S18),R18)</x:f>
      </x:c>
    </x:row>
    <x:row r="19" ht="25" customHeight="1">
      <x:c r="A19" s="16"/>
      <x:c r="B19" s="16"/>
      <x:c r="C19" s="16"/>
      <x:c r="D19" s="16"/>
      <x:c r="E19" s="16"/>
      <x:c r="F19" s="17"/>
      <x:c r="G19" s="18"/>
      <x:c r="H19" s="19"/>
      <x:c r="I19" s="19"/>
      <x:c r="J19" s="16"/>
      <x:c r="K19" s="19"/>
      <x:c r="L19" s="19"/>
      <x:c r="M19" s="19"/>
      <x:c r="N19" s="16"/>
      <x:c r="O19" s="16"/>
      <x:c r="P19" s="16"/>
      <x:c r="Q19" s="32" t="str">
        <x:f>IF(A19="","",IF(ISNUMBER(H19),IF(COUNT(I19,L19,M19)=COUNTA(I19,L19,M19),ROUND(H19-SUM(I19)+SUM(L19)+SUM(M19),2),"Review amounts"),IF(ISBLANK(H19),"","Review amounts")))</x:f>
      </x:c>
      <x:c r="R19" s="32" t="str">
        <x:f>IF(ISNUMBER(Q19),IF(OR(ISBLANK(K19),ISNUMBER(K19)),ROUND(Q19-SUM(K19),2),"Review amounts"),Q19)</x:f>
      </x:c>
      <x:c r="S19" s="32" t="str">
        <x:f>IF(ISNUMBER(R19),IF(COUNTIFS(Allocations!$C$7:$C$206,A19,Allocations!$F$7:$F$206,"Review allocation")&gt;0,"Review allocation",SUMIF(Allocations!$C$7:$C$206,A19,Allocations!$F$7:$F$206)),R19)</x:f>
      </x:c>
      <x:c r="T19" s="32" t="str">
        <x:f>IF(ISNUMBER(R19),IF(ISNUMBER(S19),ROUND(R19-S19,2),S19),R19)</x:f>
      </x:c>
    </x:row>
    <x:row r="20" ht="25" customHeight="1">
      <x:c r="A20" s="16"/>
      <x:c r="B20" s="16"/>
      <x:c r="C20" s="16"/>
      <x:c r="D20" s="16"/>
      <x:c r="E20" s="16"/>
      <x:c r="F20" s="17"/>
      <x:c r="G20" s="18"/>
      <x:c r="H20" s="19"/>
      <x:c r="I20" s="19"/>
      <x:c r="J20" s="16"/>
      <x:c r="K20" s="19"/>
      <x:c r="L20" s="19"/>
      <x:c r="M20" s="19"/>
      <x:c r="N20" s="16"/>
      <x:c r="O20" s="16"/>
      <x:c r="P20" s="16"/>
      <x:c r="Q20" s="32" t="str">
        <x:f>IF(A20="","",IF(ISNUMBER(H20),IF(COUNT(I20,L20,M20)=COUNTA(I20,L20,M20),ROUND(H20-SUM(I20)+SUM(L20)+SUM(M20),2),"Review amounts"),IF(ISBLANK(H20),"","Review amounts")))</x:f>
      </x:c>
      <x:c r="R20" s="32" t="str">
        <x:f>IF(ISNUMBER(Q20),IF(OR(ISBLANK(K20),ISNUMBER(K20)),ROUND(Q20-SUM(K20),2),"Review amounts"),Q20)</x:f>
      </x:c>
      <x:c r="S20" s="32" t="str">
        <x:f>IF(ISNUMBER(R20),IF(COUNTIFS(Allocations!$C$7:$C$206,A20,Allocations!$F$7:$F$206,"Review allocation")&gt;0,"Review allocation",SUMIF(Allocations!$C$7:$C$206,A20,Allocations!$F$7:$F$206)),R20)</x:f>
      </x:c>
      <x:c r="T20" s="32" t="str">
        <x:f>IF(ISNUMBER(R20),IF(ISNUMBER(S20),ROUND(R20-S20,2),S20),R20)</x:f>
      </x:c>
    </x:row>
    <x:row r="21" ht="25" customHeight="1">
      <x:c r="A21" s="16"/>
      <x:c r="B21" s="16"/>
      <x:c r="C21" s="16"/>
      <x:c r="D21" s="16"/>
      <x:c r="E21" s="16"/>
      <x:c r="F21" s="17"/>
      <x:c r="G21" s="18"/>
      <x:c r="H21" s="19"/>
      <x:c r="I21" s="19"/>
      <x:c r="J21" s="16"/>
      <x:c r="K21" s="19"/>
      <x:c r="L21" s="19"/>
      <x:c r="M21" s="19"/>
      <x:c r="N21" s="16"/>
      <x:c r="O21" s="16"/>
      <x:c r="P21" s="16"/>
      <x:c r="Q21" s="32" t="str">
        <x:f>IF(A21="","",IF(ISNUMBER(H21),IF(COUNT(I21,L21,M21)=COUNTA(I21,L21,M21),ROUND(H21-SUM(I21)+SUM(L21)+SUM(M21),2),"Review amounts"),IF(ISBLANK(H21),"","Review amounts")))</x:f>
      </x:c>
      <x:c r="R21" s="32" t="str">
        <x:f>IF(ISNUMBER(Q21),IF(OR(ISBLANK(K21),ISNUMBER(K21)),ROUND(Q21-SUM(K21),2),"Review amounts"),Q21)</x:f>
      </x:c>
      <x:c r="S21" s="32" t="str">
        <x:f>IF(ISNUMBER(R21),IF(COUNTIFS(Allocations!$C$7:$C$206,A21,Allocations!$F$7:$F$206,"Review allocation")&gt;0,"Review allocation",SUMIF(Allocations!$C$7:$C$206,A21,Allocations!$F$7:$F$206)),R21)</x:f>
      </x:c>
      <x:c r="T21" s="32" t="str">
        <x:f>IF(ISNUMBER(R21),IF(ISNUMBER(S21),ROUND(R21-S21,2),S21),R21)</x:f>
      </x:c>
    </x:row>
    <x:row r="22" ht="25" customHeight="1">
      <x:c r="A22" s="16"/>
      <x:c r="B22" s="16"/>
      <x:c r="C22" s="16"/>
      <x:c r="D22" s="16"/>
      <x:c r="E22" s="16"/>
      <x:c r="F22" s="17"/>
      <x:c r="G22" s="18"/>
      <x:c r="H22" s="19"/>
      <x:c r="I22" s="19"/>
      <x:c r="J22" s="16"/>
      <x:c r="K22" s="19"/>
      <x:c r="L22" s="19"/>
      <x:c r="M22" s="19"/>
      <x:c r="N22" s="16"/>
      <x:c r="O22" s="16"/>
      <x:c r="P22" s="16"/>
      <x:c r="Q22" s="32" t="str">
        <x:f>IF(A22="","",IF(ISNUMBER(H22),IF(COUNT(I22,L22,M22)=COUNTA(I22,L22,M22),ROUND(H22-SUM(I22)+SUM(L22)+SUM(M22),2),"Review amounts"),IF(ISBLANK(H22),"","Review amounts")))</x:f>
      </x:c>
      <x:c r="R22" s="32" t="str">
        <x:f>IF(ISNUMBER(Q22),IF(OR(ISBLANK(K22),ISNUMBER(K22)),ROUND(Q22-SUM(K22),2),"Review amounts"),Q22)</x:f>
      </x:c>
      <x:c r="S22" s="32" t="str">
        <x:f>IF(ISNUMBER(R22),IF(COUNTIFS(Allocations!$C$7:$C$206,A22,Allocations!$F$7:$F$206,"Review allocation")&gt;0,"Review allocation",SUMIF(Allocations!$C$7:$C$206,A22,Allocations!$F$7:$F$206)),R22)</x:f>
      </x:c>
      <x:c r="T22" s="32" t="str">
        <x:f>IF(ISNUMBER(R22),IF(ISNUMBER(S22),ROUND(R22-S22,2),S22),R22)</x:f>
      </x:c>
    </x:row>
    <x:row r="23" ht="25" customHeight="1">
      <x:c r="A23" s="16"/>
      <x:c r="B23" s="16"/>
      <x:c r="C23" s="16"/>
      <x:c r="D23" s="16"/>
      <x:c r="E23" s="16"/>
      <x:c r="F23" s="17"/>
      <x:c r="G23" s="18"/>
      <x:c r="H23" s="19"/>
      <x:c r="I23" s="19"/>
      <x:c r="J23" s="16"/>
      <x:c r="K23" s="19"/>
      <x:c r="L23" s="19"/>
      <x:c r="M23" s="19"/>
      <x:c r="N23" s="16"/>
      <x:c r="O23" s="16"/>
      <x:c r="P23" s="16"/>
      <x:c r="Q23" s="32" t="str">
        <x:f>IF(A23="","",IF(ISNUMBER(H23),IF(COUNT(I23,L23,M23)=COUNTA(I23,L23,M23),ROUND(H23-SUM(I23)+SUM(L23)+SUM(M23),2),"Review amounts"),IF(ISBLANK(H23),"","Review amounts")))</x:f>
      </x:c>
      <x:c r="R23" s="32" t="str">
        <x:f>IF(ISNUMBER(Q23),IF(OR(ISBLANK(K23),ISNUMBER(K23)),ROUND(Q23-SUM(K23),2),"Review amounts"),Q23)</x:f>
      </x:c>
      <x:c r="S23" s="32" t="str">
        <x:f>IF(ISNUMBER(R23),IF(COUNTIFS(Allocations!$C$7:$C$206,A23,Allocations!$F$7:$F$206,"Review allocation")&gt;0,"Review allocation",SUMIF(Allocations!$C$7:$C$206,A23,Allocations!$F$7:$F$206)),R23)</x:f>
      </x:c>
      <x:c r="T23" s="32" t="str">
        <x:f>IF(ISNUMBER(R23),IF(ISNUMBER(S23),ROUND(R23-S23,2),S23),R23)</x:f>
      </x:c>
    </x:row>
    <x:row r="24" ht="25" customHeight="1">
      <x:c r="A24" s="16"/>
      <x:c r="B24" s="16"/>
      <x:c r="C24" s="16"/>
      <x:c r="D24" s="16"/>
      <x:c r="E24" s="16"/>
      <x:c r="F24" s="17"/>
      <x:c r="G24" s="18"/>
      <x:c r="H24" s="19"/>
      <x:c r="I24" s="19"/>
      <x:c r="J24" s="16"/>
      <x:c r="K24" s="19"/>
      <x:c r="L24" s="19"/>
      <x:c r="M24" s="19"/>
      <x:c r="N24" s="16"/>
      <x:c r="O24" s="16"/>
      <x:c r="P24" s="16"/>
      <x:c r="Q24" s="32" t="str">
        <x:f>IF(A24="","",IF(ISNUMBER(H24),IF(COUNT(I24,L24,M24)=COUNTA(I24,L24,M24),ROUND(H24-SUM(I24)+SUM(L24)+SUM(M24),2),"Review amounts"),IF(ISBLANK(H24),"","Review amounts")))</x:f>
      </x:c>
      <x:c r="R24" s="32" t="str">
        <x:f>IF(ISNUMBER(Q24),IF(OR(ISBLANK(K24),ISNUMBER(K24)),ROUND(Q24-SUM(K24),2),"Review amounts"),Q24)</x:f>
      </x:c>
      <x:c r="S24" s="32" t="str">
        <x:f>IF(ISNUMBER(R24),IF(COUNTIFS(Allocations!$C$7:$C$206,A24,Allocations!$F$7:$F$206,"Review allocation")&gt;0,"Review allocation",SUMIF(Allocations!$C$7:$C$206,A24,Allocations!$F$7:$F$206)),R24)</x:f>
      </x:c>
      <x:c r="T24" s="32" t="str">
        <x:f>IF(ISNUMBER(R24),IF(ISNUMBER(S24),ROUND(R24-S24,2),S24),R24)</x:f>
      </x:c>
    </x:row>
    <x:row r="25" ht="25" customHeight="1">
      <x:c r="A25" s="16"/>
      <x:c r="B25" s="16"/>
      <x:c r="C25" s="16"/>
      <x:c r="D25" s="16"/>
      <x:c r="E25" s="16"/>
      <x:c r="F25" s="17"/>
      <x:c r="G25" s="18"/>
      <x:c r="H25" s="19"/>
      <x:c r="I25" s="19"/>
      <x:c r="J25" s="16"/>
      <x:c r="K25" s="19"/>
      <x:c r="L25" s="19"/>
      <x:c r="M25" s="19"/>
      <x:c r="N25" s="16"/>
      <x:c r="O25" s="16"/>
      <x:c r="P25" s="16"/>
      <x:c r="Q25" s="32" t="str">
        <x:f>IF(A25="","",IF(ISNUMBER(H25),IF(COUNT(I25,L25,M25)=COUNTA(I25,L25,M25),ROUND(H25-SUM(I25)+SUM(L25)+SUM(M25),2),"Review amounts"),IF(ISBLANK(H25),"","Review amounts")))</x:f>
      </x:c>
      <x:c r="R25" s="32" t="str">
        <x:f>IF(ISNUMBER(Q25),IF(OR(ISBLANK(K25),ISNUMBER(K25)),ROUND(Q25-SUM(K25),2),"Review amounts"),Q25)</x:f>
      </x:c>
      <x:c r="S25" s="32" t="str">
        <x:f>IF(ISNUMBER(R25),IF(COUNTIFS(Allocations!$C$7:$C$206,A25,Allocations!$F$7:$F$206,"Review allocation")&gt;0,"Review allocation",SUMIF(Allocations!$C$7:$C$206,A25,Allocations!$F$7:$F$206)),R25)</x:f>
      </x:c>
      <x:c r="T25" s="32" t="str">
        <x:f>IF(ISNUMBER(R25),IF(ISNUMBER(S25),ROUND(R25-S25,2),S25),R25)</x:f>
      </x:c>
    </x:row>
    <x:row r="26" ht="25" customHeight="1">
      <x:c r="A26" s="16"/>
      <x:c r="B26" s="16"/>
      <x:c r="C26" s="16"/>
      <x:c r="D26" s="16"/>
      <x:c r="E26" s="16"/>
      <x:c r="F26" s="17"/>
      <x:c r="G26" s="18"/>
      <x:c r="H26" s="19"/>
      <x:c r="I26" s="19"/>
      <x:c r="J26" s="16"/>
      <x:c r="K26" s="19"/>
      <x:c r="L26" s="19"/>
      <x:c r="M26" s="19"/>
      <x:c r="N26" s="16"/>
      <x:c r="O26" s="16"/>
      <x:c r="P26" s="16"/>
      <x:c r="Q26" s="32" t="str">
        <x:f>IF(A26="","",IF(ISNUMBER(H26),IF(COUNT(I26,L26,M26)=COUNTA(I26,L26,M26),ROUND(H26-SUM(I26)+SUM(L26)+SUM(M26),2),"Review amounts"),IF(ISBLANK(H26),"","Review amounts")))</x:f>
      </x:c>
      <x:c r="R26" s="32" t="str">
        <x:f>IF(ISNUMBER(Q26),IF(OR(ISBLANK(K26),ISNUMBER(K26)),ROUND(Q26-SUM(K26),2),"Review amounts"),Q26)</x:f>
      </x:c>
      <x:c r="S26" s="32" t="str">
        <x:f>IF(ISNUMBER(R26),IF(COUNTIFS(Allocations!$C$7:$C$206,A26,Allocations!$F$7:$F$206,"Review allocation")&gt;0,"Review allocation",SUMIF(Allocations!$C$7:$C$206,A26,Allocations!$F$7:$F$206)),R26)</x:f>
      </x:c>
      <x:c r="T26" s="32" t="str">
        <x:f>IF(ISNUMBER(R26),IF(ISNUMBER(S26),ROUND(R26-S26,2),S26),R26)</x:f>
      </x:c>
    </x:row>
    <x:row r="27" ht="25" customHeight="1">
      <x:c r="A27" s="16"/>
      <x:c r="B27" s="16"/>
      <x:c r="C27" s="16"/>
      <x:c r="D27" s="16"/>
      <x:c r="E27" s="16"/>
      <x:c r="F27" s="17"/>
      <x:c r="G27" s="18"/>
      <x:c r="H27" s="19"/>
      <x:c r="I27" s="19"/>
      <x:c r="J27" s="16"/>
      <x:c r="K27" s="19"/>
      <x:c r="L27" s="19"/>
      <x:c r="M27" s="19"/>
      <x:c r="N27" s="16"/>
      <x:c r="O27" s="16"/>
      <x:c r="P27" s="16"/>
      <x:c r="Q27" s="32" t="str">
        <x:f>IF(A27="","",IF(ISNUMBER(H27),IF(COUNT(I27,L27,M27)=COUNTA(I27,L27,M27),ROUND(H27-SUM(I27)+SUM(L27)+SUM(M27),2),"Review amounts"),IF(ISBLANK(H27),"","Review amounts")))</x:f>
      </x:c>
      <x:c r="R27" s="32" t="str">
        <x:f>IF(ISNUMBER(Q27),IF(OR(ISBLANK(K27),ISNUMBER(K27)),ROUND(Q27-SUM(K27),2),"Review amounts"),Q27)</x:f>
      </x:c>
      <x:c r="S27" s="32" t="str">
        <x:f>IF(ISNUMBER(R27),IF(COUNTIFS(Allocations!$C$7:$C$206,A27,Allocations!$F$7:$F$206,"Review allocation")&gt;0,"Review allocation",SUMIF(Allocations!$C$7:$C$206,A27,Allocations!$F$7:$F$206)),R27)</x:f>
      </x:c>
      <x:c r="T27" s="32" t="str">
        <x:f>IF(ISNUMBER(R27),IF(ISNUMBER(S27),ROUND(R27-S27,2),S27),R27)</x:f>
      </x:c>
    </x:row>
    <x:row r="28" ht="25" customHeight="1">
      <x:c r="A28" s="16"/>
      <x:c r="B28" s="16"/>
      <x:c r="C28" s="16"/>
      <x:c r="D28" s="16"/>
      <x:c r="E28" s="16"/>
      <x:c r="F28" s="17"/>
      <x:c r="G28" s="18"/>
      <x:c r="H28" s="19"/>
      <x:c r="I28" s="19"/>
      <x:c r="J28" s="16"/>
      <x:c r="K28" s="19"/>
      <x:c r="L28" s="19"/>
      <x:c r="M28" s="19"/>
      <x:c r="N28" s="16"/>
      <x:c r="O28" s="16"/>
      <x:c r="P28" s="16"/>
      <x:c r="Q28" s="32" t="str">
        <x:f>IF(A28="","",IF(ISNUMBER(H28),IF(COUNT(I28,L28,M28)=COUNTA(I28,L28,M28),ROUND(H28-SUM(I28)+SUM(L28)+SUM(M28),2),"Review amounts"),IF(ISBLANK(H28),"","Review amounts")))</x:f>
      </x:c>
      <x:c r="R28" s="32" t="str">
        <x:f>IF(ISNUMBER(Q28),IF(OR(ISBLANK(K28),ISNUMBER(K28)),ROUND(Q28-SUM(K28),2),"Review amounts"),Q28)</x:f>
      </x:c>
      <x:c r="S28" s="32" t="str">
        <x:f>IF(ISNUMBER(R28),IF(COUNTIFS(Allocations!$C$7:$C$206,A28,Allocations!$F$7:$F$206,"Review allocation")&gt;0,"Review allocation",SUMIF(Allocations!$C$7:$C$206,A28,Allocations!$F$7:$F$206)),R28)</x:f>
      </x:c>
      <x:c r="T28" s="32" t="str">
        <x:f>IF(ISNUMBER(R28),IF(ISNUMBER(S28),ROUND(R28-S28,2),S28),R28)</x:f>
      </x:c>
    </x:row>
    <x:row r="29" ht="25" customHeight="1">
      <x:c r="A29" s="16"/>
      <x:c r="B29" s="16"/>
      <x:c r="C29" s="16"/>
      <x:c r="D29" s="16"/>
      <x:c r="E29" s="16"/>
      <x:c r="F29" s="17"/>
      <x:c r="G29" s="18"/>
      <x:c r="H29" s="19"/>
      <x:c r="I29" s="19"/>
      <x:c r="J29" s="16"/>
      <x:c r="K29" s="19"/>
      <x:c r="L29" s="19"/>
      <x:c r="M29" s="19"/>
      <x:c r="N29" s="16"/>
      <x:c r="O29" s="16"/>
      <x:c r="P29" s="16"/>
      <x:c r="Q29" s="32" t="str">
        <x:f>IF(A29="","",IF(ISNUMBER(H29),IF(COUNT(I29,L29,M29)=COUNTA(I29,L29,M29),ROUND(H29-SUM(I29)+SUM(L29)+SUM(M29),2),"Review amounts"),IF(ISBLANK(H29),"","Review amounts")))</x:f>
      </x:c>
      <x:c r="R29" s="32" t="str">
        <x:f>IF(ISNUMBER(Q29),IF(OR(ISBLANK(K29),ISNUMBER(K29)),ROUND(Q29-SUM(K29),2),"Review amounts"),Q29)</x:f>
      </x:c>
      <x:c r="S29" s="32" t="str">
        <x:f>IF(ISNUMBER(R29),IF(COUNTIFS(Allocations!$C$7:$C$206,A29,Allocations!$F$7:$F$206,"Review allocation")&gt;0,"Review allocation",SUMIF(Allocations!$C$7:$C$206,A29,Allocations!$F$7:$F$206)),R29)</x:f>
      </x:c>
      <x:c r="T29" s="32" t="str">
        <x:f>IF(ISNUMBER(R29),IF(ISNUMBER(S29),ROUND(R29-S29,2),S29),R29)</x:f>
      </x:c>
    </x:row>
    <x:row r="30" ht="25" customHeight="1">
      <x:c r="A30" s="16"/>
      <x:c r="B30" s="16"/>
      <x:c r="C30" s="16"/>
      <x:c r="D30" s="16"/>
      <x:c r="E30" s="16"/>
      <x:c r="F30" s="17"/>
      <x:c r="G30" s="18"/>
      <x:c r="H30" s="19"/>
      <x:c r="I30" s="19"/>
      <x:c r="J30" s="16"/>
      <x:c r="K30" s="19"/>
      <x:c r="L30" s="19"/>
      <x:c r="M30" s="19"/>
      <x:c r="N30" s="16"/>
      <x:c r="O30" s="16"/>
      <x:c r="P30" s="16"/>
      <x:c r="Q30" s="32" t="str">
        <x:f>IF(A30="","",IF(ISNUMBER(H30),IF(COUNT(I30,L30,M30)=COUNTA(I30,L30,M30),ROUND(H30-SUM(I30)+SUM(L30)+SUM(M30),2),"Review amounts"),IF(ISBLANK(H30),"","Review amounts")))</x:f>
      </x:c>
      <x:c r="R30" s="32" t="str">
        <x:f>IF(ISNUMBER(Q30),IF(OR(ISBLANK(K30),ISNUMBER(K30)),ROUND(Q30-SUM(K30),2),"Review amounts"),Q30)</x:f>
      </x:c>
      <x:c r="S30" s="32" t="str">
        <x:f>IF(ISNUMBER(R30),IF(COUNTIFS(Allocations!$C$7:$C$206,A30,Allocations!$F$7:$F$206,"Review allocation")&gt;0,"Review allocation",SUMIF(Allocations!$C$7:$C$206,A30,Allocations!$F$7:$F$206)),R30)</x:f>
      </x:c>
      <x:c r="T30" s="32" t="str">
        <x:f>IF(ISNUMBER(R30),IF(ISNUMBER(S30),ROUND(R30-S30,2),S30),R30)</x:f>
      </x:c>
    </x:row>
    <x:row r="31" ht="25" customHeight="1">
      <x:c r="A31" s="16"/>
      <x:c r="B31" s="16"/>
      <x:c r="C31" s="16"/>
      <x:c r="D31" s="16"/>
      <x:c r="E31" s="16"/>
      <x:c r="F31" s="17"/>
      <x:c r="G31" s="18"/>
      <x:c r="H31" s="19"/>
      <x:c r="I31" s="19"/>
      <x:c r="J31" s="16"/>
      <x:c r="K31" s="19"/>
      <x:c r="L31" s="19"/>
      <x:c r="M31" s="19"/>
      <x:c r="N31" s="16"/>
      <x:c r="O31" s="16"/>
      <x:c r="P31" s="16"/>
      <x:c r="Q31" s="32" t="str">
        <x:f>IF(A31="","",IF(ISNUMBER(H31),IF(COUNT(I31,L31,M31)=COUNTA(I31,L31,M31),ROUND(H31-SUM(I31)+SUM(L31)+SUM(M31),2),"Review amounts"),IF(ISBLANK(H31),"","Review amounts")))</x:f>
      </x:c>
      <x:c r="R31" s="32" t="str">
        <x:f>IF(ISNUMBER(Q31),IF(OR(ISBLANK(K31),ISNUMBER(K31)),ROUND(Q31-SUM(K31),2),"Review amounts"),Q31)</x:f>
      </x:c>
      <x:c r="S31" s="32" t="str">
        <x:f>IF(ISNUMBER(R31),IF(COUNTIFS(Allocations!$C$7:$C$206,A31,Allocations!$F$7:$F$206,"Review allocation")&gt;0,"Review allocation",SUMIF(Allocations!$C$7:$C$206,A31,Allocations!$F$7:$F$206)),R31)</x:f>
      </x:c>
      <x:c r="T31" s="32" t="str">
        <x:f>IF(ISNUMBER(R31),IF(ISNUMBER(S31),ROUND(R31-S31,2),S31),R31)</x:f>
      </x:c>
    </x:row>
    <x:row r="32" ht="25" customHeight="1">
      <x:c r="A32" s="16"/>
      <x:c r="B32" s="16"/>
      <x:c r="C32" s="16"/>
      <x:c r="D32" s="16"/>
      <x:c r="E32" s="16"/>
      <x:c r="F32" s="17"/>
      <x:c r="G32" s="18"/>
      <x:c r="H32" s="19"/>
      <x:c r="I32" s="19"/>
      <x:c r="J32" s="16"/>
      <x:c r="K32" s="19"/>
      <x:c r="L32" s="19"/>
      <x:c r="M32" s="19"/>
      <x:c r="N32" s="16"/>
      <x:c r="O32" s="16"/>
      <x:c r="P32" s="16"/>
      <x:c r="Q32" s="32" t="str">
        <x:f>IF(A32="","",IF(ISNUMBER(H32),IF(COUNT(I32,L32,M32)=COUNTA(I32,L32,M32),ROUND(H32-SUM(I32)+SUM(L32)+SUM(M32),2),"Review amounts"),IF(ISBLANK(H32),"","Review amounts")))</x:f>
      </x:c>
      <x:c r="R32" s="32" t="str">
        <x:f>IF(ISNUMBER(Q32),IF(OR(ISBLANK(K32),ISNUMBER(K32)),ROUND(Q32-SUM(K32),2),"Review amounts"),Q32)</x:f>
      </x:c>
      <x:c r="S32" s="32" t="str">
        <x:f>IF(ISNUMBER(R32),IF(COUNTIFS(Allocations!$C$7:$C$206,A32,Allocations!$F$7:$F$206,"Review allocation")&gt;0,"Review allocation",SUMIF(Allocations!$C$7:$C$206,A32,Allocations!$F$7:$F$206)),R32)</x:f>
      </x:c>
      <x:c r="T32" s="32" t="str">
        <x:f>IF(ISNUMBER(R32),IF(ISNUMBER(S32),ROUND(R32-S32,2),S32),R32)</x:f>
      </x:c>
    </x:row>
    <x:row r="33" ht="25" customHeight="1">
      <x:c r="A33" s="16"/>
      <x:c r="B33" s="16"/>
      <x:c r="C33" s="16"/>
      <x:c r="D33" s="16"/>
      <x:c r="E33" s="16"/>
      <x:c r="F33" s="17"/>
      <x:c r="G33" s="18"/>
      <x:c r="H33" s="19"/>
      <x:c r="I33" s="19"/>
      <x:c r="J33" s="16"/>
      <x:c r="K33" s="19"/>
      <x:c r="L33" s="19"/>
      <x:c r="M33" s="19"/>
      <x:c r="N33" s="16"/>
      <x:c r="O33" s="16"/>
      <x:c r="P33" s="16"/>
      <x:c r="Q33" s="32" t="str">
        <x:f>IF(A33="","",IF(ISNUMBER(H33),IF(COUNT(I33,L33,M33)=COUNTA(I33,L33,M33),ROUND(H33-SUM(I33)+SUM(L33)+SUM(M33),2),"Review amounts"),IF(ISBLANK(H33),"","Review amounts")))</x:f>
      </x:c>
      <x:c r="R33" s="32" t="str">
        <x:f>IF(ISNUMBER(Q33),IF(OR(ISBLANK(K33),ISNUMBER(K33)),ROUND(Q33-SUM(K33),2),"Review amounts"),Q33)</x:f>
      </x:c>
      <x:c r="S33" s="32" t="str">
        <x:f>IF(ISNUMBER(R33),IF(COUNTIFS(Allocations!$C$7:$C$206,A33,Allocations!$F$7:$F$206,"Review allocation")&gt;0,"Review allocation",SUMIF(Allocations!$C$7:$C$206,A33,Allocations!$F$7:$F$206)),R33)</x:f>
      </x:c>
      <x:c r="T33" s="32" t="str">
        <x:f>IF(ISNUMBER(R33),IF(ISNUMBER(S33),ROUND(R33-S33,2),S33),R33)</x:f>
      </x:c>
    </x:row>
    <x:row r="34" ht="25" customHeight="1">
      <x:c r="A34" s="16"/>
      <x:c r="B34" s="16"/>
      <x:c r="C34" s="16"/>
      <x:c r="D34" s="16"/>
      <x:c r="E34" s="16"/>
      <x:c r="F34" s="17"/>
      <x:c r="G34" s="18"/>
      <x:c r="H34" s="19"/>
      <x:c r="I34" s="19"/>
      <x:c r="J34" s="16"/>
      <x:c r="K34" s="19"/>
      <x:c r="L34" s="19"/>
      <x:c r="M34" s="19"/>
      <x:c r="N34" s="16"/>
      <x:c r="O34" s="16"/>
      <x:c r="P34" s="16"/>
      <x:c r="Q34" s="32" t="str">
        <x:f>IF(A34="","",IF(ISNUMBER(H34),IF(COUNT(I34,L34,M34)=COUNTA(I34,L34,M34),ROUND(H34-SUM(I34)+SUM(L34)+SUM(M34),2),"Review amounts"),IF(ISBLANK(H34),"","Review amounts")))</x:f>
      </x:c>
      <x:c r="R34" s="32" t="str">
        <x:f>IF(ISNUMBER(Q34),IF(OR(ISBLANK(K34),ISNUMBER(K34)),ROUND(Q34-SUM(K34),2),"Review amounts"),Q34)</x:f>
      </x:c>
      <x:c r="S34" s="32" t="str">
        <x:f>IF(ISNUMBER(R34),IF(COUNTIFS(Allocations!$C$7:$C$206,A34,Allocations!$F$7:$F$206,"Review allocation")&gt;0,"Review allocation",SUMIF(Allocations!$C$7:$C$206,A34,Allocations!$F$7:$F$206)),R34)</x:f>
      </x:c>
      <x:c r="T34" s="32" t="str">
        <x:f>IF(ISNUMBER(R34),IF(ISNUMBER(S34),ROUND(R34-S34,2),S34),R34)</x:f>
      </x:c>
    </x:row>
    <x:row r="35" ht="25" customHeight="1">
      <x:c r="A35" s="16"/>
      <x:c r="B35" s="16"/>
      <x:c r="C35" s="16"/>
      <x:c r="D35" s="16"/>
      <x:c r="E35" s="16"/>
      <x:c r="F35" s="17"/>
      <x:c r="G35" s="18"/>
      <x:c r="H35" s="19"/>
      <x:c r="I35" s="19"/>
      <x:c r="J35" s="16"/>
      <x:c r="K35" s="19"/>
      <x:c r="L35" s="19"/>
      <x:c r="M35" s="19"/>
      <x:c r="N35" s="16"/>
      <x:c r="O35" s="16"/>
      <x:c r="P35" s="16"/>
      <x:c r="Q35" s="32" t="str">
        <x:f>IF(A35="","",IF(ISNUMBER(H35),IF(COUNT(I35,L35,M35)=COUNTA(I35,L35,M35),ROUND(H35-SUM(I35)+SUM(L35)+SUM(M35),2),"Review amounts"),IF(ISBLANK(H35),"","Review amounts")))</x:f>
      </x:c>
      <x:c r="R35" s="32" t="str">
        <x:f>IF(ISNUMBER(Q35),IF(OR(ISBLANK(K35),ISNUMBER(K35)),ROUND(Q35-SUM(K35),2),"Review amounts"),Q35)</x:f>
      </x:c>
      <x:c r="S35" s="32" t="str">
        <x:f>IF(ISNUMBER(R35),IF(COUNTIFS(Allocations!$C$7:$C$206,A35,Allocations!$F$7:$F$206,"Review allocation")&gt;0,"Review allocation",SUMIF(Allocations!$C$7:$C$206,A35,Allocations!$F$7:$F$206)),R35)</x:f>
      </x:c>
      <x:c r="T35" s="32" t="str">
        <x:f>IF(ISNUMBER(R35),IF(ISNUMBER(S35),ROUND(R35-S35,2),S35),R35)</x:f>
      </x:c>
    </x:row>
    <x:row r="36" ht="25" customHeight="1">
      <x:c r="A36" s="16"/>
      <x:c r="B36" s="16"/>
      <x:c r="C36" s="16"/>
      <x:c r="D36" s="16"/>
      <x:c r="E36" s="16"/>
      <x:c r="F36" s="17"/>
      <x:c r="G36" s="18"/>
      <x:c r="H36" s="19"/>
      <x:c r="I36" s="19"/>
      <x:c r="J36" s="16"/>
      <x:c r="K36" s="19"/>
      <x:c r="L36" s="19"/>
      <x:c r="M36" s="19"/>
      <x:c r="N36" s="16"/>
      <x:c r="O36" s="16"/>
      <x:c r="P36" s="16"/>
      <x:c r="Q36" s="32" t="str">
        <x:f>IF(A36="","",IF(ISNUMBER(H36),IF(COUNT(I36,L36,M36)=COUNTA(I36,L36,M36),ROUND(H36-SUM(I36)+SUM(L36)+SUM(M36),2),"Review amounts"),IF(ISBLANK(H36),"","Review amounts")))</x:f>
      </x:c>
      <x:c r="R36" s="32" t="str">
        <x:f>IF(ISNUMBER(Q36),IF(OR(ISBLANK(K36),ISNUMBER(K36)),ROUND(Q36-SUM(K36),2),"Review amounts"),Q36)</x:f>
      </x:c>
      <x:c r="S36" s="32" t="str">
        <x:f>IF(ISNUMBER(R36),IF(COUNTIFS(Allocations!$C$7:$C$206,A36,Allocations!$F$7:$F$206,"Review allocation")&gt;0,"Review allocation",SUMIF(Allocations!$C$7:$C$206,A36,Allocations!$F$7:$F$206)),R36)</x:f>
      </x:c>
      <x:c r="T36" s="32" t="str">
        <x:f>IF(ISNUMBER(R36),IF(ISNUMBER(S36),ROUND(R36-S36,2),S36),R36)</x:f>
      </x:c>
    </x:row>
    <x:row r="37" ht="25" customHeight="1">
      <x:c r="A37" s="16"/>
      <x:c r="B37" s="16"/>
      <x:c r="C37" s="16"/>
      <x:c r="D37" s="16"/>
      <x:c r="E37" s="16"/>
      <x:c r="F37" s="17"/>
      <x:c r="G37" s="18"/>
      <x:c r="H37" s="19"/>
      <x:c r="I37" s="19"/>
      <x:c r="J37" s="16"/>
      <x:c r="K37" s="19"/>
      <x:c r="L37" s="19"/>
      <x:c r="M37" s="19"/>
      <x:c r="N37" s="16"/>
      <x:c r="O37" s="16"/>
      <x:c r="P37" s="16"/>
      <x:c r="Q37" s="32" t="str">
        <x:f>IF(A37="","",IF(ISNUMBER(H37),IF(COUNT(I37,L37,M37)=COUNTA(I37,L37,M37),ROUND(H37-SUM(I37)+SUM(L37)+SUM(M37),2),"Review amounts"),IF(ISBLANK(H37),"","Review amounts")))</x:f>
      </x:c>
      <x:c r="R37" s="32" t="str">
        <x:f>IF(ISNUMBER(Q37),IF(OR(ISBLANK(K37),ISNUMBER(K37)),ROUND(Q37-SUM(K37),2),"Review amounts"),Q37)</x:f>
      </x:c>
      <x:c r="S37" s="32" t="str">
        <x:f>IF(ISNUMBER(R37),IF(COUNTIFS(Allocations!$C$7:$C$206,A37,Allocations!$F$7:$F$206,"Review allocation")&gt;0,"Review allocation",SUMIF(Allocations!$C$7:$C$206,A37,Allocations!$F$7:$F$206)),R37)</x:f>
      </x:c>
      <x:c r="T37" s="32" t="str">
        <x:f>IF(ISNUMBER(R37),IF(ISNUMBER(S37),ROUND(R37-S37,2),S37),R37)</x:f>
      </x:c>
    </x:row>
    <x:row r="38" ht="25" customHeight="1">
      <x:c r="A38" s="16"/>
      <x:c r="B38" s="16"/>
      <x:c r="C38" s="16"/>
      <x:c r="D38" s="16"/>
      <x:c r="E38" s="16"/>
      <x:c r="F38" s="17"/>
      <x:c r="G38" s="18"/>
      <x:c r="H38" s="19"/>
      <x:c r="I38" s="19"/>
      <x:c r="J38" s="16"/>
      <x:c r="K38" s="19"/>
      <x:c r="L38" s="19"/>
      <x:c r="M38" s="19"/>
      <x:c r="N38" s="16"/>
      <x:c r="O38" s="16"/>
      <x:c r="P38" s="16"/>
      <x:c r="Q38" s="32" t="str">
        <x:f>IF(A38="","",IF(ISNUMBER(H38),IF(COUNT(I38,L38,M38)=COUNTA(I38,L38,M38),ROUND(H38-SUM(I38)+SUM(L38)+SUM(M38),2),"Review amounts"),IF(ISBLANK(H38),"","Review amounts")))</x:f>
      </x:c>
      <x:c r="R38" s="32" t="str">
        <x:f>IF(ISNUMBER(Q38),IF(OR(ISBLANK(K38),ISNUMBER(K38)),ROUND(Q38-SUM(K38),2),"Review amounts"),Q38)</x:f>
      </x:c>
      <x:c r="S38" s="32" t="str">
        <x:f>IF(ISNUMBER(R38),IF(COUNTIFS(Allocations!$C$7:$C$206,A38,Allocations!$F$7:$F$206,"Review allocation")&gt;0,"Review allocation",SUMIF(Allocations!$C$7:$C$206,A38,Allocations!$F$7:$F$206)),R38)</x:f>
      </x:c>
      <x:c r="T38" s="32" t="str">
        <x:f>IF(ISNUMBER(R38),IF(ISNUMBER(S38),ROUND(R38-S38,2),S38),R38)</x:f>
      </x:c>
    </x:row>
    <x:row r="39" ht="25" customHeight="1">
      <x:c r="A39" s="16"/>
      <x:c r="B39" s="16"/>
      <x:c r="C39" s="16"/>
      <x:c r="D39" s="16"/>
      <x:c r="E39" s="16"/>
      <x:c r="F39" s="17"/>
      <x:c r="G39" s="18"/>
      <x:c r="H39" s="19"/>
      <x:c r="I39" s="19"/>
      <x:c r="J39" s="16"/>
      <x:c r="K39" s="19"/>
      <x:c r="L39" s="19"/>
      <x:c r="M39" s="19"/>
      <x:c r="N39" s="16"/>
      <x:c r="O39" s="16"/>
      <x:c r="P39" s="16"/>
      <x:c r="Q39" s="32" t="str">
        <x:f>IF(A39="","",IF(ISNUMBER(H39),IF(COUNT(I39,L39,M39)=COUNTA(I39,L39,M39),ROUND(H39-SUM(I39)+SUM(L39)+SUM(M39),2),"Review amounts"),IF(ISBLANK(H39),"","Review amounts")))</x:f>
      </x:c>
      <x:c r="R39" s="32" t="str">
        <x:f>IF(ISNUMBER(Q39),IF(OR(ISBLANK(K39),ISNUMBER(K39)),ROUND(Q39-SUM(K39),2),"Review amounts"),Q39)</x:f>
      </x:c>
      <x:c r="S39" s="32" t="str">
        <x:f>IF(ISNUMBER(R39),IF(COUNTIFS(Allocations!$C$7:$C$206,A39,Allocations!$F$7:$F$206,"Review allocation")&gt;0,"Review allocation",SUMIF(Allocations!$C$7:$C$206,A39,Allocations!$F$7:$F$206)),R39)</x:f>
      </x:c>
      <x:c r="T39" s="32" t="str">
        <x:f>IF(ISNUMBER(R39),IF(ISNUMBER(S39),ROUND(R39-S39,2),S39),R39)</x:f>
      </x:c>
    </x:row>
    <x:row r="40" ht="25" customHeight="1">
      <x:c r="A40" s="16"/>
      <x:c r="B40" s="16"/>
      <x:c r="C40" s="16"/>
      <x:c r="D40" s="16"/>
      <x:c r="E40" s="16"/>
      <x:c r="F40" s="17"/>
      <x:c r="G40" s="18"/>
      <x:c r="H40" s="19"/>
      <x:c r="I40" s="19"/>
      <x:c r="J40" s="16"/>
      <x:c r="K40" s="19"/>
      <x:c r="L40" s="19"/>
      <x:c r="M40" s="19"/>
      <x:c r="N40" s="16"/>
      <x:c r="O40" s="16"/>
      <x:c r="P40" s="16"/>
      <x:c r="Q40" s="32" t="str">
        <x:f>IF(A40="","",IF(ISNUMBER(H40),IF(COUNT(I40,L40,M40)=COUNTA(I40,L40,M40),ROUND(H40-SUM(I40)+SUM(L40)+SUM(M40),2),"Review amounts"),IF(ISBLANK(H40),"","Review amounts")))</x:f>
      </x:c>
      <x:c r="R40" s="32" t="str">
        <x:f>IF(ISNUMBER(Q40),IF(OR(ISBLANK(K40),ISNUMBER(K40)),ROUND(Q40-SUM(K40),2),"Review amounts"),Q40)</x:f>
      </x:c>
      <x:c r="S40" s="32" t="str">
        <x:f>IF(ISNUMBER(R40),IF(COUNTIFS(Allocations!$C$7:$C$206,A40,Allocations!$F$7:$F$206,"Review allocation")&gt;0,"Review allocation",SUMIF(Allocations!$C$7:$C$206,A40,Allocations!$F$7:$F$206)),R40)</x:f>
      </x:c>
      <x:c r="T40" s="32" t="str">
        <x:f>IF(ISNUMBER(R40),IF(ISNUMBER(S40),ROUND(R40-S40,2),S40),R40)</x:f>
      </x:c>
    </x:row>
    <x:row r="41" ht="25" customHeight="1">
      <x:c r="A41" s="16"/>
      <x:c r="B41" s="16"/>
      <x:c r="C41" s="16"/>
      <x:c r="D41" s="16"/>
      <x:c r="E41" s="16"/>
      <x:c r="F41" s="17"/>
      <x:c r="G41" s="18"/>
      <x:c r="H41" s="19"/>
      <x:c r="I41" s="19"/>
      <x:c r="J41" s="16"/>
      <x:c r="K41" s="19"/>
      <x:c r="L41" s="19"/>
      <x:c r="M41" s="19"/>
      <x:c r="N41" s="16"/>
      <x:c r="O41" s="16"/>
      <x:c r="P41" s="16"/>
      <x:c r="Q41" s="32" t="str">
        <x:f>IF(A41="","",IF(ISNUMBER(H41),IF(COUNT(I41,L41,M41)=COUNTA(I41,L41,M41),ROUND(H41-SUM(I41)+SUM(L41)+SUM(M41),2),"Review amounts"),IF(ISBLANK(H41),"","Review amounts")))</x:f>
      </x:c>
      <x:c r="R41" s="32" t="str">
        <x:f>IF(ISNUMBER(Q41),IF(OR(ISBLANK(K41),ISNUMBER(K41)),ROUND(Q41-SUM(K41),2),"Review amounts"),Q41)</x:f>
      </x:c>
      <x:c r="S41" s="32" t="str">
        <x:f>IF(ISNUMBER(R41),IF(COUNTIFS(Allocations!$C$7:$C$206,A41,Allocations!$F$7:$F$206,"Review allocation")&gt;0,"Review allocation",SUMIF(Allocations!$C$7:$C$206,A41,Allocations!$F$7:$F$206)),R41)</x:f>
      </x:c>
      <x:c r="T41" s="32" t="str">
        <x:f>IF(ISNUMBER(R41),IF(ISNUMBER(S41),ROUND(R41-S41,2),S41),R41)</x:f>
      </x:c>
    </x:row>
    <x:row r="42" ht="25" customHeight="1">
      <x:c r="A42" s="16"/>
      <x:c r="B42" s="16"/>
      <x:c r="C42" s="16"/>
      <x:c r="D42" s="16"/>
      <x:c r="E42" s="16"/>
      <x:c r="F42" s="17"/>
      <x:c r="G42" s="18"/>
      <x:c r="H42" s="19"/>
      <x:c r="I42" s="19"/>
      <x:c r="J42" s="16"/>
      <x:c r="K42" s="19"/>
      <x:c r="L42" s="19"/>
      <x:c r="M42" s="19"/>
      <x:c r="N42" s="16"/>
      <x:c r="O42" s="16"/>
      <x:c r="P42" s="16"/>
      <x:c r="Q42" s="32" t="str">
        <x:f>IF(A42="","",IF(ISNUMBER(H42),IF(COUNT(I42,L42,M42)=COUNTA(I42,L42,M42),ROUND(H42-SUM(I42)+SUM(L42)+SUM(M42),2),"Review amounts"),IF(ISBLANK(H42),"","Review amounts")))</x:f>
      </x:c>
      <x:c r="R42" s="32" t="str">
        <x:f>IF(ISNUMBER(Q42),IF(OR(ISBLANK(K42),ISNUMBER(K42)),ROUND(Q42-SUM(K42),2),"Review amounts"),Q42)</x:f>
      </x:c>
      <x:c r="S42" s="32" t="str">
        <x:f>IF(ISNUMBER(R42),IF(COUNTIFS(Allocations!$C$7:$C$206,A42,Allocations!$F$7:$F$206,"Review allocation")&gt;0,"Review allocation",SUMIF(Allocations!$C$7:$C$206,A42,Allocations!$F$7:$F$206)),R42)</x:f>
      </x:c>
      <x:c r="T42" s="32" t="str">
        <x:f>IF(ISNUMBER(R42),IF(ISNUMBER(S42),ROUND(R42-S42,2),S42),R42)</x:f>
      </x:c>
    </x:row>
    <x:row r="43" ht="25" customHeight="1">
      <x:c r="A43" s="16"/>
      <x:c r="B43" s="16"/>
      <x:c r="C43" s="16"/>
      <x:c r="D43" s="16"/>
      <x:c r="E43" s="16"/>
      <x:c r="F43" s="17"/>
      <x:c r="G43" s="18"/>
      <x:c r="H43" s="19"/>
      <x:c r="I43" s="19"/>
      <x:c r="J43" s="16"/>
      <x:c r="K43" s="19"/>
      <x:c r="L43" s="19"/>
      <x:c r="M43" s="19"/>
      <x:c r="N43" s="16"/>
      <x:c r="O43" s="16"/>
      <x:c r="P43" s="16"/>
      <x:c r="Q43" s="32" t="str">
        <x:f>IF(A43="","",IF(ISNUMBER(H43),IF(COUNT(I43,L43,M43)=COUNTA(I43,L43,M43),ROUND(H43-SUM(I43)+SUM(L43)+SUM(M43),2),"Review amounts"),IF(ISBLANK(H43),"","Review amounts")))</x:f>
      </x:c>
      <x:c r="R43" s="32" t="str">
        <x:f>IF(ISNUMBER(Q43),IF(OR(ISBLANK(K43),ISNUMBER(K43)),ROUND(Q43-SUM(K43),2),"Review amounts"),Q43)</x:f>
      </x:c>
      <x:c r="S43" s="32" t="str">
        <x:f>IF(ISNUMBER(R43),IF(COUNTIFS(Allocations!$C$7:$C$206,A43,Allocations!$F$7:$F$206,"Review allocation")&gt;0,"Review allocation",SUMIF(Allocations!$C$7:$C$206,A43,Allocations!$F$7:$F$206)),R43)</x:f>
      </x:c>
      <x:c r="T43" s="32" t="str">
        <x:f>IF(ISNUMBER(R43),IF(ISNUMBER(S43),ROUND(R43-S43,2),S43),R43)</x:f>
      </x:c>
    </x:row>
    <x:row r="44" ht="25" customHeight="1">
      <x:c r="A44" s="16"/>
      <x:c r="B44" s="16"/>
      <x:c r="C44" s="16"/>
      <x:c r="D44" s="16"/>
      <x:c r="E44" s="16"/>
      <x:c r="F44" s="17"/>
      <x:c r="G44" s="18"/>
      <x:c r="H44" s="19"/>
      <x:c r="I44" s="19"/>
      <x:c r="J44" s="16"/>
      <x:c r="K44" s="19"/>
      <x:c r="L44" s="19"/>
      <x:c r="M44" s="19"/>
      <x:c r="N44" s="16"/>
      <x:c r="O44" s="16"/>
      <x:c r="P44" s="16"/>
      <x:c r="Q44" s="32" t="str">
        <x:f>IF(A44="","",IF(ISNUMBER(H44),IF(COUNT(I44,L44,M44)=COUNTA(I44,L44,M44),ROUND(H44-SUM(I44)+SUM(L44)+SUM(M44),2),"Review amounts"),IF(ISBLANK(H44),"","Review amounts")))</x:f>
      </x:c>
      <x:c r="R44" s="32" t="str">
        <x:f>IF(ISNUMBER(Q44),IF(OR(ISBLANK(K44),ISNUMBER(K44)),ROUND(Q44-SUM(K44),2),"Review amounts"),Q44)</x:f>
      </x:c>
      <x:c r="S44" s="32" t="str">
        <x:f>IF(ISNUMBER(R44),IF(COUNTIFS(Allocations!$C$7:$C$206,A44,Allocations!$F$7:$F$206,"Review allocation")&gt;0,"Review allocation",SUMIF(Allocations!$C$7:$C$206,A44,Allocations!$F$7:$F$206)),R44)</x:f>
      </x:c>
      <x:c r="T44" s="32" t="str">
        <x:f>IF(ISNUMBER(R44),IF(ISNUMBER(S44),ROUND(R44-S44,2),S44),R44)</x:f>
      </x:c>
    </x:row>
    <x:row r="45" ht="25" customHeight="1">
      <x:c r="A45" s="16"/>
      <x:c r="B45" s="16"/>
      <x:c r="C45" s="16"/>
      <x:c r="D45" s="16"/>
      <x:c r="E45" s="16"/>
      <x:c r="F45" s="17"/>
      <x:c r="G45" s="18"/>
      <x:c r="H45" s="19"/>
      <x:c r="I45" s="19"/>
      <x:c r="J45" s="16"/>
      <x:c r="K45" s="19"/>
      <x:c r="L45" s="19"/>
      <x:c r="M45" s="19"/>
      <x:c r="N45" s="16"/>
      <x:c r="O45" s="16"/>
      <x:c r="P45" s="16"/>
      <x:c r="Q45" s="32" t="str">
        <x:f>IF(A45="","",IF(ISNUMBER(H45),IF(COUNT(I45,L45,M45)=COUNTA(I45,L45,M45),ROUND(H45-SUM(I45)+SUM(L45)+SUM(M45),2),"Review amounts"),IF(ISBLANK(H45),"","Review amounts")))</x:f>
      </x:c>
      <x:c r="R45" s="32" t="str">
        <x:f>IF(ISNUMBER(Q45),IF(OR(ISBLANK(K45),ISNUMBER(K45)),ROUND(Q45-SUM(K45),2),"Review amounts"),Q45)</x:f>
      </x:c>
      <x:c r="S45" s="32" t="str">
        <x:f>IF(ISNUMBER(R45),IF(COUNTIFS(Allocations!$C$7:$C$206,A45,Allocations!$F$7:$F$206,"Review allocation")&gt;0,"Review allocation",SUMIF(Allocations!$C$7:$C$206,A45,Allocations!$F$7:$F$206)),R45)</x:f>
      </x:c>
      <x:c r="T45" s="32" t="str">
        <x:f>IF(ISNUMBER(R45),IF(ISNUMBER(S45),ROUND(R45-S45,2),S45),R45)</x:f>
      </x:c>
    </x:row>
    <x:row r="46" ht="25" customHeight="1">
      <x:c r="A46" s="16"/>
      <x:c r="B46" s="16"/>
      <x:c r="C46" s="16"/>
      <x:c r="D46" s="16"/>
      <x:c r="E46" s="16"/>
      <x:c r="F46" s="17"/>
      <x:c r="G46" s="18"/>
      <x:c r="H46" s="19"/>
      <x:c r="I46" s="19"/>
      <x:c r="J46" s="16"/>
      <x:c r="K46" s="19"/>
      <x:c r="L46" s="19"/>
      <x:c r="M46" s="19"/>
      <x:c r="N46" s="16"/>
      <x:c r="O46" s="16"/>
      <x:c r="P46" s="16"/>
      <x:c r="Q46" s="32" t="str">
        <x:f>IF(A46="","",IF(ISNUMBER(H46),IF(COUNT(I46,L46,M46)=COUNTA(I46,L46,M46),ROUND(H46-SUM(I46)+SUM(L46)+SUM(M46),2),"Review amounts"),IF(ISBLANK(H46),"","Review amounts")))</x:f>
      </x:c>
      <x:c r="R46" s="32" t="str">
        <x:f>IF(ISNUMBER(Q46),IF(OR(ISBLANK(K46),ISNUMBER(K46)),ROUND(Q46-SUM(K46),2),"Review amounts"),Q46)</x:f>
      </x:c>
      <x:c r="S46" s="32" t="str">
        <x:f>IF(ISNUMBER(R46),IF(COUNTIFS(Allocations!$C$7:$C$206,A46,Allocations!$F$7:$F$206,"Review allocation")&gt;0,"Review allocation",SUMIF(Allocations!$C$7:$C$206,A46,Allocations!$F$7:$F$206)),R46)</x:f>
      </x:c>
      <x:c r="T46" s="32" t="str">
        <x:f>IF(ISNUMBER(R46),IF(ISNUMBER(S46),ROUND(R46-S46,2),S46),R46)</x:f>
      </x:c>
    </x:row>
    <x:row r="47" ht="25" customHeight="1">
      <x:c r="A47" s="16"/>
      <x:c r="B47" s="16"/>
      <x:c r="C47" s="16"/>
      <x:c r="D47" s="16"/>
      <x:c r="E47" s="16"/>
      <x:c r="F47" s="17"/>
      <x:c r="G47" s="18"/>
      <x:c r="H47" s="19"/>
      <x:c r="I47" s="19"/>
      <x:c r="J47" s="16"/>
      <x:c r="K47" s="19"/>
      <x:c r="L47" s="19"/>
      <x:c r="M47" s="19"/>
      <x:c r="N47" s="16"/>
      <x:c r="O47" s="16"/>
      <x:c r="P47" s="16"/>
      <x:c r="Q47" s="32" t="str">
        <x:f>IF(A47="","",IF(ISNUMBER(H47),IF(COUNT(I47,L47,M47)=COUNTA(I47,L47,M47),ROUND(H47-SUM(I47)+SUM(L47)+SUM(M47),2),"Review amounts"),IF(ISBLANK(H47),"","Review amounts")))</x:f>
      </x:c>
      <x:c r="R47" s="32" t="str">
        <x:f>IF(ISNUMBER(Q47),IF(OR(ISBLANK(K47),ISNUMBER(K47)),ROUND(Q47-SUM(K47),2),"Review amounts"),Q47)</x:f>
      </x:c>
      <x:c r="S47" s="32" t="str">
        <x:f>IF(ISNUMBER(R47),IF(COUNTIFS(Allocations!$C$7:$C$206,A47,Allocations!$F$7:$F$206,"Review allocation")&gt;0,"Review allocation",SUMIF(Allocations!$C$7:$C$206,A47,Allocations!$F$7:$F$206)),R47)</x:f>
      </x:c>
      <x:c r="T47" s="32" t="str">
        <x:f>IF(ISNUMBER(R47),IF(ISNUMBER(S47),ROUND(R47-S47,2),S47),R47)</x:f>
      </x:c>
    </x:row>
    <x:row r="48" ht="25" customHeight="1">
      <x:c r="A48" s="16"/>
      <x:c r="B48" s="16"/>
      <x:c r="C48" s="16"/>
      <x:c r="D48" s="16"/>
      <x:c r="E48" s="16"/>
      <x:c r="F48" s="17"/>
      <x:c r="G48" s="18"/>
      <x:c r="H48" s="19"/>
      <x:c r="I48" s="19"/>
      <x:c r="J48" s="16"/>
      <x:c r="K48" s="19"/>
      <x:c r="L48" s="19"/>
      <x:c r="M48" s="19"/>
      <x:c r="N48" s="16"/>
      <x:c r="O48" s="16"/>
      <x:c r="P48" s="16"/>
      <x:c r="Q48" s="32" t="str">
        <x:f>IF(A48="","",IF(ISNUMBER(H48),IF(COUNT(I48,L48,M48)=COUNTA(I48,L48,M48),ROUND(H48-SUM(I48)+SUM(L48)+SUM(M48),2),"Review amounts"),IF(ISBLANK(H48),"","Review amounts")))</x:f>
      </x:c>
      <x:c r="R48" s="32" t="str">
        <x:f>IF(ISNUMBER(Q48),IF(OR(ISBLANK(K48),ISNUMBER(K48)),ROUND(Q48-SUM(K48),2),"Review amounts"),Q48)</x:f>
      </x:c>
      <x:c r="S48" s="32" t="str">
        <x:f>IF(ISNUMBER(R48),IF(COUNTIFS(Allocations!$C$7:$C$206,A48,Allocations!$F$7:$F$206,"Review allocation")&gt;0,"Review allocation",SUMIF(Allocations!$C$7:$C$206,A48,Allocations!$F$7:$F$206)),R48)</x:f>
      </x:c>
      <x:c r="T48" s="32" t="str">
        <x:f>IF(ISNUMBER(R48),IF(ISNUMBER(S48),ROUND(R48-S48,2),S48),R48)</x:f>
      </x:c>
    </x:row>
    <x:row r="49" ht="25" customHeight="1">
      <x:c r="A49" s="16"/>
      <x:c r="B49" s="16"/>
      <x:c r="C49" s="16"/>
      <x:c r="D49" s="16"/>
      <x:c r="E49" s="16"/>
      <x:c r="F49" s="17"/>
      <x:c r="G49" s="18"/>
      <x:c r="H49" s="19"/>
      <x:c r="I49" s="19"/>
      <x:c r="J49" s="16"/>
      <x:c r="K49" s="19"/>
      <x:c r="L49" s="19"/>
      <x:c r="M49" s="19"/>
      <x:c r="N49" s="16"/>
      <x:c r="O49" s="16"/>
      <x:c r="P49" s="16"/>
      <x:c r="Q49" s="32" t="str">
        <x:f>IF(A49="","",IF(ISNUMBER(H49),IF(COUNT(I49,L49,M49)=COUNTA(I49,L49,M49),ROUND(H49-SUM(I49)+SUM(L49)+SUM(M49),2),"Review amounts"),IF(ISBLANK(H49),"","Review amounts")))</x:f>
      </x:c>
      <x:c r="R49" s="32" t="str">
        <x:f>IF(ISNUMBER(Q49),IF(OR(ISBLANK(K49),ISNUMBER(K49)),ROUND(Q49-SUM(K49),2),"Review amounts"),Q49)</x:f>
      </x:c>
      <x:c r="S49" s="32" t="str">
        <x:f>IF(ISNUMBER(R49),IF(COUNTIFS(Allocations!$C$7:$C$206,A49,Allocations!$F$7:$F$206,"Review allocation")&gt;0,"Review allocation",SUMIF(Allocations!$C$7:$C$206,A49,Allocations!$F$7:$F$206)),R49)</x:f>
      </x:c>
      <x:c r="T49" s="32" t="str">
        <x:f>IF(ISNUMBER(R49),IF(ISNUMBER(S49),ROUND(R49-S49,2),S49),R49)</x:f>
      </x:c>
    </x:row>
    <x:row r="50" ht="25" customHeight="1">
      <x:c r="A50" s="16"/>
      <x:c r="B50" s="16"/>
      <x:c r="C50" s="16"/>
      <x:c r="D50" s="16"/>
      <x:c r="E50" s="16"/>
      <x:c r="F50" s="17"/>
      <x:c r="G50" s="18"/>
      <x:c r="H50" s="19"/>
      <x:c r="I50" s="19"/>
      <x:c r="J50" s="16"/>
      <x:c r="K50" s="19"/>
      <x:c r="L50" s="19"/>
      <x:c r="M50" s="19"/>
      <x:c r="N50" s="16"/>
      <x:c r="O50" s="16"/>
      <x:c r="P50" s="16"/>
      <x:c r="Q50" s="32" t="str">
        <x:f>IF(A50="","",IF(ISNUMBER(H50),IF(COUNT(I50,L50,M50)=COUNTA(I50,L50,M50),ROUND(H50-SUM(I50)+SUM(L50)+SUM(M50),2),"Review amounts"),IF(ISBLANK(H50),"","Review amounts")))</x:f>
      </x:c>
      <x:c r="R50" s="32" t="str">
        <x:f>IF(ISNUMBER(Q50),IF(OR(ISBLANK(K50),ISNUMBER(K50)),ROUND(Q50-SUM(K50),2),"Review amounts"),Q50)</x:f>
      </x:c>
      <x:c r="S50" s="32" t="str">
        <x:f>IF(ISNUMBER(R50),IF(COUNTIFS(Allocations!$C$7:$C$206,A50,Allocations!$F$7:$F$206,"Review allocation")&gt;0,"Review allocation",SUMIF(Allocations!$C$7:$C$206,A50,Allocations!$F$7:$F$206)),R50)</x:f>
      </x:c>
      <x:c r="T50" s="32" t="str">
        <x:f>IF(ISNUMBER(R50),IF(ISNUMBER(S50),ROUND(R50-S50,2),S50),R50)</x:f>
      </x:c>
    </x:row>
    <x:row r="51" ht="25" customHeight="1">
      <x:c r="A51" s="16"/>
      <x:c r="B51" s="16"/>
      <x:c r="C51" s="16"/>
      <x:c r="D51" s="16"/>
      <x:c r="E51" s="16"/>
      <x:c r="F51" s="17"/>
      <x:c r="G51" s="18"/>
      <x:c r="H51" s="19"/>
      <x:c r="I51" s="19"/>
      <x:c r="J51" s="16"/>
      <x:c r="K51" s="19"/>
      <x:c r="L51" s="19"/>
      <x:c r="M51" s="19"/>
      <x:c r="N51" s="16"/>
      <x:c r="O51" s="16"/>
      <x:c r="P51" s="16"/>
      <x:c r="Q51" s="32" t="str">
        <x:f>IF(A51="","",IF(ISNUMBER(H51),IF(COUNT(I51,L51,M51)=COUNTA(I51,L51,M51),ROUND(H51-SUM(I51)+SUM(L51)+SUM(M51),2),"Review amounts"),IF(ISBLANK(H51),"","Review amounts")))</x:f>
      </x:c>
      <x:c r="R51" s="32" t="str">
        <x:f>IF(ISNUMBER(Q51),IF(OR(ISBLANK(K51),ISNUMBER(K51)),ROUND(Q51-SUM(K51),2),"Review amounts"),Q51)</x:f>
      </x:c>
      <x:c r="S51" s="32" t="str">
        <x:f>IF(ISNUMBER(R51),IF(COUNTIFS(Allocations!$C$7:$C$206,A51,Allocations!$F$7:$F$206,"Review allocation")&gt;0,"Review allocation",SUMIF(Allocations!$C$7:$C$206,A51,Allocations!$F$7:$F$206)),R51)</x:f>
      </x:c>
      <x:c r="T51" s="32" t="str">
        <x:f>IF(ISNUMBER(R51),IF(ISNUMBER(S51),ROUND(R51-S51,2),S51),R51)</x:f>
      </x:c>
    </x:row>
    <x:row r="52" ht="25" customHeight="1">
      <x:c r="A52" s="16"/>
      <x:c r="B52" s="16"/>
      <x:c r="C52" s="16"/>
      <x:c r="D52" s="16"/>
      <x:c r="E52" s="16"/>
      <x:c r="F52" s="17"/>
      <x:c r="G52" s="18"/>
      <x:c r="H52" s="19"/>
      <x:c r="I52" s="19"/>
      <x:c r="J52" s="16"/>
      <x:c r="K52" s="19"/>
      <x:c r="L52" s="19"/>
      <x:c r="M52" s="19"/>
      <x:c r="N52" s="16"/>
      <x:c r="O52" s="16"/>
      <x:c r="P52" s="16"/>
      <x:c r="Q52" s="32" t="str">
        <x:f>IF(A52="","",IF(ISNUMBER(H52),IF(COUNT(I52,L52,M52)=COUNTA(I52,L52,M52),ROUND(H52-SUM(I52)+SUM(L52)+SUM(M52),2),"Review amounts"),IF(ISBLANK(H52),"","Review amounts")))</x:f>
      </x:c>
      <x:c r="R52" s="32" t="str">
        <x:f>IF(ISNUMBER(Q52),IF(OR(ISBLANK(K52),ISNUMBER(K52)),ROUND(Q52-SUM(K52),2),"Review amounts"),Q52)</x:f>
      </x:c>
      <x:c r="S52" s="32" t="str">
        <x:f>IF(ISNUMBER(R52),IF(COUNTIFS(Allocations!$C$7:$C$206,A52,Allocations!$F$7:$F$206,"Review allocation")&gt;0,"Review allocation",SUMIF(Allocations!$C$7:$C$206,A52,Allocations!$F$7:$F$206)),R52)</x:f>
      </x:c>
      <x:c r="T52" s="32" t="str">
        <x:f>IF(ISNUMBER(R52),IF(ISNUMBER(S52),ROUND(R52-S52,2),S52),R52)</x:f>
      </x:c>
    </x:row>
    <x:row r="53" ht="25" customHeight="1">
      <x:c r="A53" s="16"/>
      <x:c r="B53" s="16"/>
      <x:c r="C53" s="16"/>
      <x:c r="D53" s="16"/>
      <x:c r="E53" s="16"/>
      <x:c r="F53" s="17"/>
      <x:c r="G53" s="18"/>
      <x:c r="H53" s="19"/>
      <x:c r="I53" s="19"/>
      <x:c r="J53" s="16"/>
      <x:c r="K53" s="19"/>
      <x:c r="L53" s="19"/>
      <x:c r="M53" s="19"/>
      <x:c r="N53" s="16"/>
      <x:c r="O53" s="16"/>
      <x:c r="P53" s="16"/>
      <x:c r="Q53" s="32" t="str">
        <x:f>IF(A53="","",IF(ISNUMBER(H53),IF(COUNT(I53,L53,M53)=COUNTA(I53,L53,M53),ROUND(H53-SUM(I53)+SUM(L53)+SUM(M53),2),"Review amounts"),IF(ISBLANK(H53),"","Review amounts")))</x:f>
      </x:c>
      <x:c r="R53" s="32" t="str">
        <x:f>IF(ISNUMBER(Q53),IF(OR(ISBLANK(K53),ISNUMBER(K53)),ROUND(Q53-SUM(K53),2),"Review amounts"),Q53)</x:f>
      </x:c>
      <x:c r="S53" s="32" t="str">
        <x:f>IF(ISNUMBER(R53),IF(COUNTIFS(Allocations!$C$7:$C$206,A53,Allocations!$F$7:$F$206,"Review allocation")&gt;0,"Review allocation",SUMIF(Allocations!$C$7:$C$206,A53,Allocations!$F$7:$F$206)),R53)</x:f>
      </x:c>
      <x:c r="T53" s="32" t="str">
        <x:f>IF(ISNUMBER(R53),IF(ISNUMBER(S53),ROUND(R53-S53,2),S53),R53)</x:f>
      </x:c>
    </x:row>
    <x:row r="54" ht="25" customHeight="1">
      <x:c r="A54" s="16"/>
      <x:c r="B54" s="16"/>
      <x:c r="C54" s="16"/>
      <x:c r="D54" s="16"/>
      <x:c r="E54" s="16"/>
      <x:c r="F54" s="17"/>
      <x:c r="G54" s="18"/>
      <x:c r="H54" s="19"/>
      <x:c r="I54" s="19"/>
      <x:c r="J54" s="16"/>
      <x:c r="K54" s="19"/>
      <x:c r="L54" s="19"/>
      <x:c r="M54" s="19"/>
      <x:c r="N54" s="16"/>
      <x:c r="O54" s="16"/>
      <x:c r="P54" s="16"/>
      <x:c r="Q54" s="32" t="str">
        <x:f>IF(A54="","",IF(ISNUMBER(H54),IF(COUNT(I54,L54,M54)=COUNTA(I54,L54,M54),ROUND(H54-SUM(I54)+SUM(L54)+SUM(M54),2),"Review amounts"),IF(ISBLANK(H54),"","Review amounts")))</x:f>
      </x:c>
      <x:c r="R54" s="32" t="str">
        <x:f>IF(ISNUMBER(Q54),IF(OR(ISBLANK(K54),ISNUMBER(K54)),ROUND(Q54-SUM(K54),2),"Review amounts"),Q54)</x:f>
      </x:c>
      <x:c r="S54" s="32" t="str">
        <x:f>IF(ISNUMBER(R54),IF(COUNTIFS(Allocations!$C$7:$C$206,A54,Allocations!$F$7:$F$206,"Review allocation")&gt;0,"Review allocation",SUMIF(Allocations!$C$7:$C$206,A54,Allocations!$F$7:$F$206)),R54)</x:f>
      </x:c>
      <x:c r="T54" s="32" t="str">
        <x:f>IF(ISNUMBER(R54),IF(ISNUMBER(S54),ROUND(R54-S54,2),S54),R54)</x:f>
      </x:c>
    </x:row>
    <x:row r="55" ht="25" customHeight="1">
      <x:c r="A55" s="16"/>
      <x:c r="B55" s="16"/>
      <x:c r="C55" s="16"/>
      <x:c r="D55" s="16"/>
      <x:c r="E55" s="16"/>
      <x:c r="F55" s="17"/>
      <x:c r="G55" s="18"/>
      <x:c r="H55" s="19"/>
      <x:c r="I55" s="19"/>
      <x:c r="J55" s="16"/>
      <x:c r="K55" s="19"/>
      <x:c r="L55" s="19"/>
      <x:c r="M55" s="19"/>
      <x:c r="N55" s="16"/>
      <x:c r="O55" s="16"/>
      <x:c r="P55" s="16"/>
      <x:c r="Q55" s="32" t="str">
        <x:f>IF(A55="","",IF(ISNUMBER(H55),IF(COUNT(I55,L55,M55)=COUNTA(I55,L55,M55),ROUND(H55-SUM(I55)+SUM(L55)+SUM(M55),2),"Review amounts"),IF(ISBLANK(H55),"","Review amounts")))</x:f>
      </x:c>
      <x:c r="R55" s="32" t="str">
        <x:f>IF(ISNUMBER(Q55),IF(OR(ISBLANK(K55),ISNUMBER(K55)),ROUND(Q55-SUM(K55),2),"Review amounts"),Q55)</x:f>
      </x:c>
      <x:c r="S55" s="32" t="str">
        <x:f>IF(ISNUMBER(R55),IF(COUNTIFS(Allocations!$C$7:$C$206,A55,Allocations!$F$7:$F$206,"Review allocation")&gt;0,"Review allocation",SUMIF(Allocations!$C$7:$C$206,A55,Allocations!$F$7:$F$206)),R55)</x:f>
      </x:c>
      <x:c r="T55" s="32" t="str">
        <x:f>IF(ISNUMBER(R55),IF(ISNUMBER(S55),ROUND(R55-S55,2),S55),R55)</x:f>
      </x:c>
    </x:row>
    <x:row r="56" ht="25" customHeight="1">
      <x:c r="A56" s="16"/>
      <x:c r="B56" s="16"/>
      <x:c r="C56" s="16"/>
      <x:c r="D56" s="16"/>
      <x:c r="E56" s="16"/>
      <x:c r="F56" s="17"/>
      <x:c r="G56" s="18"/>
      <x:c r="H56" s="19"/>
      <x:c r="I56" s="19"/>
      <x:c r="J56" s="16"/>
      <x:c r="K56" s="19"/>
      <x:c r="L56" s="19"/>
      <x:c r="M56" s="19"/>
      <x:c r="N56" s="16"/>
      <x:c r="O56" s="16"/>
      <x:c r="P56" s="16"/>
      <x:c r="Q56" s="32" t="str">
        <x:f>IF(A56="","",IF(ISNUMBER(H56),IF(COUNT(I56,L56,M56)=COUNTA(I56,L56,M56),ROUND(H56-SUM(I56)+SUM(L56)+SUM(M56),2),"Review amounts"),IF(ISBLANK(H56),"","Review amounts")))</x:f>
      </x:c>
      <x:c r="R56" s="32" t="str">
        <x:f>IF(ISNUMBER(Q56),IF(OR(ISBLANK(K56),ISNUMBER(K56)),ROUND(Q56-SUM(K56),2),"Review amounts"),Q56)</x:f>
      </x:c>
      <x:c r="S56" s="32" t="str">
        <x:f>IF(ISNUMBER(R56),IF(COUNTIFS(Allocations!$C$7:$C$206,A56,Allocations!$F$7:$F$206,"Review allocation")&gt;0,"Review allocation",SUMIF(Allocations!$C$7:$C$206,A56,Allocations!$F$7:$F$206)),R56)</x:f>
      </x:c>
      <x:c r="T56" s="32" t="str">
        <x:f>IF(ISNUMBER(R56),IF(ISNUMBER(S56),ROUND(R56-S56,2),S56),R56)</x:f>
      </x:c>
    </x:row>
    <x:row r="57" ht="25" customHeight="1">
      <x:c r="A57" s="16"/>
      <x:c r="B57" s="16"/>
      <x:c r="C57" s="16"/>
      <x:c r="D57" s="16"/>
      <x:c r="E57" s="16"/>
      <x:c r="F57" s="17"/>
      <x:c r="G57" s="18"/>
      <x:c r="H57" s="19"/>
      <x:c r="I57" s="19"/>
      <x:c r="J57" s="16"/>
      <x:c r="K57" s="19"/>
      <x:c r="L57" s="19"/>
      <x:c r="M57" s="19"/>
      <x:c r="N57" s="16"/>
      <x:c r="O57" s="16"/>
      <x:c r="P57" s="16"/>
      <x:c r="Q57" s="32" t="str">
        <x:f>IF(A57="","",IF(ISNUMBER(H57),IF(COUNT(I57,L57,M57)=COUNTA(I57,L57,M57),ROUND(H57-SUM(I57)+SUM(L57)+SUM(M57),2),"Review amounts"),IF(ISBLANK(H57),"","Review amounts")))</x:f>
      </x:c>
      <x:c r="R57" s="32" t="str">
        <x:f>IF(ISNUMBER(Q57),IF(OR(ISBLANK(K57),ISNUMBER(K57)),ROUND(Q57-SUM(K57),2),"Review amounts"),Q57)</x:f>
      </x:c>
      <x:c r="S57" s="32" t="str">
        <x:f>IF(ISNUMBER(R57),IF(COUNTIFS(Allocations!$C$7:$C$206,A57,Allocations!$F$7:$F$206,"Review allocation")&gt;0,"Review allocation",SUMIF(Allocations!$C$7:$C$206,A57,Allocations!$F$7:$F$206)),R57)</x:f>
      </x:c>
      <x:c r="T57" s="32" t="str">
        <x:f>IF(ISNUMBER(R57),IF(ISNUMBER(S57),ROUND(R57-S57,2),S57),R57)</x:f>
      </x:c>
    </x:row>
    <x:row r="58" ht="25" customHeight="1">
      <x:c r="A58" s="16"/>
      <x:c r="B58" s="16"/>
      <x:c r="C58" s="16"/>
      <x:c r="D58" s="16"/>
      <x:c r="E58" s="16"/>
      <x:c r="F58" s="17"/>
      <x:c r="G58" s="18"/>
      <x:c r="H58" s="19"/>
      <x:c r="I58" s="19"/>
      <x:c r="J58" s="16"/>
      <x:c r="K58" s="19"/>
      <x:c r="L58" s="19"/>
      <x:c r="M58" s="19"/>
      <x:c r="N58" s="16"/>
      <x:c r="O58" s="16"/>
      <x:c r="P58" s="16"/>
      <x:c r="Q58" s="32" t="str">
        <x:f>IF(A58="","",IF(ISNUMBER(H58),IF(COUNT(I58,L58,M58)=COUNTA(I58,L58,M58),ROUND(H58-SUM(I58)+SUM(L58)+SUM(M58),2),"Review amounts"),IF(ISBLANK(H58),"","Review amounts")))</x:f>
      </x:c>
      <x:c r="R58" s="32" t="str">
        <x:f>IF(ISNUMBER(Q58),IF(OR(ISBLANK(K58),ISNUMBER(K58)),ROUND(Q58-SUM(K58),2),"Review amounts"),Q58)</x:f>
      </x:c>
      <x:c r="S58" s="32" t="str">
        <x:f>IF(ISNUMBER(R58),IF(COUNTIFS(Allocations!$C$7:$C$206,A58,Allocations!$F$7:$F$206,"Review allocation")&gt;0,"Review allocation",SUMIF(Allocations!$C$7:$C$206,A58,Allocations!$F$7:$F$206)),R58)</x:f>
      </x:c>
      <x:c r="T58" s="32" t="str">
        <x:f>IF(ISNUMBER(R58),IF(ISNUMBER(S58),ROUND(R58-S58,2),S58),R58)</x:f>
      </x:c>
    </x:row>
    <x:row r="59" ht="25" customHeight="1">
      <x:c r="A59" s="16"/>
      <x:c r="B59" s="16"/>
      <x:c r="C59" s="16"/>
      <x:c r="D59" s="16"/>
      <x:c r="E59" s="16"/>
      <x:c r="F59" s="17"/>
      <x:c r="G59" s="18"/>
      <x:c r="H59" s="19"/>
      <x:c r="I59" s="19"/>
      <x:c r="J59" s="16"/>
      <x:c r="K59" s="19"/>
      <x:c r="L59" s="19"/>
      <x:c r="M59" s="19"/>
      <x:c r="N59" s="16"/>
      <x:c r="O59" s="16"/>
      <x:c r="P59" s="16"/>
      <x:c r="Q59" s="32" t="str">
        <x:f>IF(A59="","",IF(ISNUMBER(H59),IF(COUNT(I59,L59,M59)=COUNTA(I59,L59,M59),ROUND(H59-SUM(I59)+SUM(L59)+SUM(M59),2),"Review amounts"),IF(ISBLANK(H59),"","Review amounts")))</x:f>
      </x:c>
      <x:c r="R59" s="32" t="str">
        <x:f>IF(ISNUMBER(Q59),IF(OR(ISBLANK(K59),ISNUMBER(K59)),ROUND(Q59-SUM(K59),2),"Review amounts"),Q59)</x:f>
      </x:c>
      <x:c r="S59" s="32" t="str">
        <x:f>IF(ISNUMBER(R59),IF(COUNTIFS(Allocations!$C$7:$C$206,A59,Allocations!$F$7:$F$206,"Review allocation")&gt;0,"Review allocation",SUMIF(Allocations!$C$7:$C$206,A59,Allocations!$F$7:$F$206)),R59)</x:f>
      </x:c>
      <x:c r="T59" s="32" t="str">
        <x:f>IF(ISNUMBER(R59),IF(ISNUMBER(S59),ROUND(R59-S59,2),S59),R59)</x:f>
      </x:c>
    </x:row>
    <x:row r="60" ht="25" customHeight="1">
      <x:c r="A60" s="16"/>
      <x:c r="B60" s="16"/>
      <x:c r="C60" s="16"/>
      <x:c r="D60" s="16"/>
      <x:c r="E60" s="16"/>
      <x:c r="F60" s="17"/>
      <x:c r="G60" s="18"/>
      <x:c r="H60" s="19"/>
      <x:c r="I60" s="19"/>
      <x:c r="J60" s="16"/>
      <x:c r="K60" s="19"/>
      <x:c r="L60" s="19"/>
      <x:c r="M60" s="19"/>
      <x:c r="N60" s="16"/>
      <x:c r="O60" s="16"/>
      <x:c r="P60" s="16"/>
      <x:c r="Q60" s="32" t="str">
        <x:f>IF(A60="","",IF(ISNUMBER(H60),IF(COUNT(I60,L60,M60)=COUNTA(I60,L60,M60),ROUND(H60-SUM(I60)+SUM(L60)+SUM(M60),2),"Review amounts"),IF(ISBLANK(H60),"","Review amounts")))</x:f>
      </x:c>
      <x:c r="R60" s="32" t="str">
        <x:f>IF(ISNUMBER(Q60),IF(OR(ISBLANK(K60),ISNUMBER(K60)),ROUND(Q60-SUM(K60),2),"Review amounts"),Q60)</x:f>
      </x:c>
      <x:c r="S60" s="32" t="str">
        <x:f>IF(ISNUMBER(R60),IF(COUNTIFS(Allocations!$C$7:$C$206,A60,Allocations!$F$7:$F$206,"Review allocation")&gt;0,"Review allocation",SUMIF(Allocations!$C$7:$C$206,A60,Allocations!$F$7:$F$206)),R60)</x:f>
      </x:c>
      <x:c r="T60" s="32" t="str">
        <x:f>IF(ISNUMBER(R60),IF(ISNUMBER(S60),ROUND(R60-S60,2),S60),R60)</x:f>
      </x:c>
    </x:row>
    <x:row r="61" ht="25" customHeight="1">
      <x:c r="A61" s="16"/>
      <x:c r="B61" s="16"/>
      <x:c r="C61" s="16"/>
      <x:c r="D61" s="16"/>
      <x:c r="E61" s="16"/>
      <x:c r="F61" s="17"/>
      <x:c r="G61" s="18"/>
      <x:c r="H61" s="19"/>
      <x:c r="I61" s="19"/>
      <x:c r="J61" s="16"/>
      <x:c r="K61" s="19"/>
      <x:c r="L61" s="19"/>
      <x:c r="M61" s="19"/>
      <x:c r="N61" s="16"/>
      <x:c r="O61" s="16"/>
      <x:c r="P61" s="16"/>
      <x:c r="Q61" s="32" t="str">
        <x:f>IF(A61="","",IF(ISNUMBER(H61),IF(COUNT(I61,L61,M61)=COUNTA(I61,L61,M61),ROUND(H61-SUM(I61)+SUM(L61)+SUM(M61),2),"Review amounts"),IF(ISBLANK(H61),"","Review amounts")))</x:f>
      </x:c>
      <x:c r="R61" s="32" t="str">
        <x:f>IF(ISNUMBER(Q61),IF(OR(ISBLANK(K61),ISNUMBER(K61)),ROUND(Q61-SUM(K61),2),"Review amounts"),Q61)</x:f>
      </x:c>
      <x:c r="S61" s="32" t="str">
        <x:f>IF(ISNUMBER(R61),IF(COUNTIFS(Allocations!$C$7:$C$206,A61,Allocations!$F$7:$F$206,"Review allocation")&gt;0,"Review allocation",SUMIF(Allocations!$C$7:$C$206,A61,Allocations!$F$7:$F$206)),R61)</x:f>
      </x:c>
      <x:c r="T61" s="32" t="str">
        <x:f>IF(ISNUMBER(R61),IF(ISNUMBER(S61),ROUND(R61-S61,2),S61),R61)</x:f>
      </x:c>
    </x:row>
    <x:row r="62" ht="25" customHeight="1">
      <x:c r="A62" s="16"/>
      <x:c r="B62" s="16"/>
      <x:c r="C62" s="16"/>
      <x:c r="D62" s="16"/>
      <x:c r="E62" s="16"/>
      <x:c r="F62" s="17"/>
      <x:c r="G62" s="18"/>
      <x:c r="H62" s="19"/>
      <x:c r="I62" s="19"/>
      <x:c r="J62" s="16"/>
      <x:c r="K62" s="19"/>
      <x:c r="L62" s="19"/>
      <x:c r="M62" s="19"/>
      <x:c r="N62" s="16"/>
      <x:c r="O62" s="16"/>
      <x:c r="P62" s="16"/>
      <x:c r="Q62" s="32" t="str">
        <x:f>IF(A62="","",IF(ISNUMBER(H62),IF(COUNT(I62,L62,M62)=COUNTA(I62,L62,M62),ROUND(H62-SUM(I62)+SUM(L62)+SUM(M62),2),"Review amounts"),IF(ISBLANK(H62),"","Review amounts")))</x:f>
      </x:c>
      <x:c r="R62" s="32" t="str">
        <x:f>IF(ISNUMBER(Q62),IF(OR(ISBLANK(K62),ISNUMBER(K62)),ROUND(Q62-SUM(K62),2),"Review amounts"),Q62)</x:f>
      </x:c>
      <x:c r="S62" s="32" t="str">
        <x:f>IF(ISNUMBER(R62),IF(COUNTIFS(Allocations!$C$7:$C$206,A62,Allocations!$F$7:$F$206,"Review allocation")&gt;0,"Review allocation",SUMIF(Allocations!$C$7:$C$206,A62,Allocations!$F$7:$F$206)),R62)</x:f>
      </x:c>
      <x:c r="T62" s="32" t="str">
        <x:f>IF(ISNUMBER(R62),IF(ISNUMBER(S62),ROUND(R62-S62,2),S62),R62)</x:f>
      </x:c>
    </x:row>
    <x:row r="63" ht="25" customHeight="1">
      <x:c r="A63" s="16"/>
      <x:c r="B63" s="16"/>
      <x:c r="C63" s="16"/>
      <x:c r="D63" s="16"/>
      <x:c r="E63" s="16"/>
      <x:c r="F63" s="17"/>
      <x:c r="G63" s="18"/>
      <x:c r="H63" s="19"/>
      <x:c r="I63" s="19"/>
      <x:c r="J63" s="16"/>
      <x:c r="K63" s="19"/>
      <x:c r="L63" s="19"/>
      <x:c r="M63" s="19"/>
      <x:c r="N63" s="16"/>
      <x:c r="O63" s="16"/>
      <x:c r="P63" s="16"/>
      <x:c r="Q63" s="32" t="str">
        <x:f>IF(A63="","",IF(ISNUMBER(H63),IF(COUNT(I63,L63,M63)=COUNTA(I63,L63,M63),ROUND(H63-SUM(I63)+SUM(L63)+SUM(M63),2),"Review amounts"),IF(ISBLANK(H63),"","Review amounts")))</x:f>
      </x:c>
      <x:c r="R63" s="32" t="str">
        <x:f>IF(ISNUMBER(Q63),IF(OR(ISBLANK(K63),ISNUMBER(K63)),ROUND(Q63-SUM(K63),2),"Review amounts"),Q63)</x:f>
      </x:c>
      <x:c r="S63" s="32" t="str">
        <x:f>IF(ISNUMBER(R63),IF(COUNTIFS(Allocations!$C$7:$C$206,A63,Allocations!$F$7:$F$206,"Review allocation")&gt;0,"Review allocation",SUMIF(Allocations!$C$7:$C$206,A63,Allocations!$F$7:$F$206)),R63)</x:f>
      </x:c>
      <x:c r="T63" s="32" t="str">
        <x:f>IF(ISNUMBER(R63),IF(ISNUMBER(S63),ROUND(R63-S63,2),S63),R63)</x:f>
      </x:c>
    </x:row>
    <x:row r="64" ht="25" customHeight="1">
      <x:c r="A64" s="16"/>
      <x:c r="B64" s="16"/>
      <x:c r="C64" s="16"/>
      <x:c r="D64" s="16"/>
      <x:c r="E64" s="16"/>
      <x:c r="F64" s="17"/>
      <x:c r="G64" s="18"/>
      <x:c r="H64" s="19"/>
      <x:c r="I64" s="19"/>
      <x:c r="J64" s="16"/>
      <x:c r="K64" s="19"/>
      <x:c r="L64" s="19"/>
      <x:c r="M64" s="19"/>
      <x:c r="N64" s="16"/>
      <x:c r="O64" s="16"/>
      <x:c r="P64" s="16"/>
      <x:c r="Q64" s="32" t="str">
        <x:f>IF(A64="","",IF(ISNUMBER(H64),IF(COUNT(I64,L64,M64)=COUNTA(I64,L64,M64),ROUND(H64-SUM(I64)+SUM(L64)+SUM(M64),2),"Review amounts"),IF(ISBLANK(H64),"","Review amounts")))</x:f>
      </x:c>
      <x:c r="R64" s="32" t="str">
        <x:f>IF(ISNUMBER(Q64),IF(OR(ISBLANK(K64),ISNUMBER(K64)),ROUND(Q64-SUM(K64),2),"Review amounts"),Q64)</x:f>
      </x:c>
      <x:c r="S64" s="32" t="str">
        <x:f>IF(ISNUMBER(R64),IF(COUNTIFS(Allocations!$C$7:$C$206,A64,Allocations!$F$7:$F$206,"Review allocation")&gt;0,"Review allocation",SUMIF(Allocations!$C$7:$C$206,A64,Allocations!$F$7:$F$206)),R64)</x:f>
      </x:c>
      <x:c r="T64" s="32" t="str">
        <x:f>IF(ISNUMBER(R64),IF(ISNUMBER(S64),ROUND(R64-S64,2),S64),R64)</x:f>
      </x:c>
    </x:row>
    <x:row r="65" ht="25" customHeight="1">
      <x:c r="A65" s="16"/>
      <x:c r="B65" s="16"/>
      <x:c r="C65" s="16"/>
      <x:c r="D65" s="16"/>
      <x:c r="E65" s="16"/>
      <x:c r="F65" s="17"/>
      <x:c r="G65" s="18"/>
      <x:c r="H65" s="19"/>
      <x:c r="I65" s="19"/>
      <x:c r="J65" s="16"/>
      <x:c r="K65" s="19"/>
      <x:c r="L65" s="19"/>
      <x:c r="M65" s="19"/>
      <x:c r="N65" s="16"/>
      <x:c r="O65" s="16"/>
      <x:c r="P65" s="16"/>
      <x:c r="Q65" s="32" t="str">
        <x:f>IF(A65="","",IF(ISNUMBER(H65),IF(COUNT(I65,L65,M65)=COUNTA(I65,L65,M65),ROUND(H65-SUM(I65)+SUM(L65)+SUM(M65),2),"Review amounts"),IF(ISBLANK(H65),"","Review amounts")))</x:f>
      </x:c>
      <x:c r="R65" s="32" t="str">
        <x:f>IF(ISNUMBER(Q65),IF(OR(ISBLANK(K65),ISNUMBER(K65)),ROUND(Q65-SUM(K65),2),"Review amounts"),Q65)</x:f>
      </x:c>
      <x:c r="S65" s="32" t="str">
        <x:f>IF(ISNUMBER(R65),IF(COUNTIFS(Allocations!$C$7:$C$206,A65,Allocations!$F$7:$F$206,"Review allocation")&gt;0,"Review allocation",SUMIF(Allocations!$C$7:$C$206,A65,Allocations!$F$7:$F$206)),R65)</x:f>
      </x:c>
      <x:c r="T65" s="32" t="str">
        <x:f>IF(ISNUMBER(R65),IF(ISNUMBER(S65),ROUND(R65-S65,2),S65),R65)</x:f>
      </x:c>
    </x:row>
    <x:row r="66" ht="25" customHeight="1">
      <x:c r="A66" s="16"/>
      <x:c r="B66" s="16"/>
      <x:c r="C66" s="16"/>
      <x:c r="D66" s="16"/>
      <x:c r="E66" s="16"/>
      <x:c r="F66" s="17"/>
      <x:c r="G66" s="18"/>
      <x:c r="H66" s="19"/>
      <x:c r="I66" s="19"/>
      <x:c r="J66" s="16"/>
      <x:c r="K66" s="19"/>
      <x:c r="L66" s="19"/>
      <x:c r="M66" s="19"/>
      <x:c r="N66" s="16"/>
      <x:c r="O66" s="16"/>
      <x:c r="P66" s="16"/>
      <x:c r="Q66" s="32" t="str">
        <x:f>IF(A66="","",IF(ISNUMBER(H66),IF(COUNT(I66,L66,M66)=COUNTA(I66,L66,M66),ROUND(H66-SUM(I66)+SUM(L66)+SUM(M66),2),"Review amounts"),IF(ISBLANK(H66),"","Review amounts")))</x:f>
      </x:c>
      <x:c r="R66" s="32" t="str">
        <x:f>IF(ISNUMBER(Q66),IF(OR(ISBLANK(K66),ISNUMBER(K66)),ROUND(Q66-SUM(K66),2),"Review amounts"),Q66)</x:f>
      </x:c>
      <x:c r="S66" s="32" t="str">
        <x:f>IF(ISNUMBER(R66),IF(COUNTIFS(Allocations!$C$7:$C$206,A66,Allocations!$F$7:$F$206,"Review allocation")&gt;0,"Review allocation",SUMIF(Allocations!$C$7:$C$206,A66,Allocations!$F$7:$F$206)),R66)</x:f>
      </x:c>
      <x:c r="T66" s="32" t="str">
        <x:f>IF(ISNUMBER(R66),IF(ISNUMBER(S66),ROUND(R66-S66,2),S66),R66)</x:f>
      </x:c>
    </x:row>
    <x:row r="67" ht="25" customHeight="1">
      <x:c r="A67" s="16"/>
      <x:c r="B67" s="16"/>
      <x:c r="C67" s="16"/>
      <x:c r="D67" s="16"/>
      <x:c r="E67" s="16"/>
      <x:c r="F67" s="17"/>
      <x:c r="G67" s="18"/>
      <x:c r="H67" s="19"/>
      <x:c r="I67" s="19"/>
      <x:c r="J67" s="16"/>
      <x:c r="K67" s="19"/>
      <x:c r="L67" s="19"/>
      <x:c r="M67" s="19"/>
      <x:c r="N67" s="16"/>
      <x:c r="O67" s="16"/>
      <x:c r="P67" s="16"/>
      <x:c r="Q67" s="32" t="str">
        <x:f>IF(A67="","",IF(ISNUMBER(H67),IF(COUNT(I67,L67,M67)=COUNTA(I67,L67,M67),ROUND(H67-SUM(I67)+SUM(L67)+SUM(M67),2),"Review amounts"),IF(ISBLANK(H67),"","Review amounts")))</x:f>
      </x:c>
      <x:c r="R67" s="32" t="str">
        <x:f>IF(ISNUMBER(Q67),IF(OR(ISBLANK(K67),ISNUMBER(K67)),ROUND(Q67-SUM(K67),2),"Review amounts"),Q67)</x:f>
      </x:c>
      <x:c r="S67" s="32" t="str">
        <x:f>IF(ISNUMBER(R67),IF(COUNTIFS(Allocations!$C$7:$C$206,A67,Allocations!$F$7:$F$206,"Review allocation")&gt;0,"Review allocation",SUMIF(Allocations!$C$7:$C$206,A67,Allocations!$F$7:$F$206)),R67)</x:f>
      </x:c>
      <x:c r="T67" s="32" t="str">
        <x:f>IF(ISNUMBER(R67),IF(ISNUMBER(S67),ROUND(R67-S67,2),S67),R67)</x:f>
      </x:c>
    </x:row>
    <x:row r="68" ht="25" customHeight="1">
      <x:c r="A68" s="16"/>
      <x:c r="B68" s="16"/>
      <x:c r="C68" s="16"/>
      <x:c r="D68" s="16"/>
      <x:c r="E68" s="16"/>
      <x:c r="F68" s="17"/>
      <x:c r="G68" s="18"/>
      <x:c r="H68" s="19"/>
      <x:c r="I68" s="19"/>
      <x:c r="J68" s="16"/>
      <x:c r="K68" s="19"/>
      <x:c r="L68" s="19"/>
      <x:c r="M68" s="19"/>
      <x:c r="N68" s="16"/>
      <x:c r="O68" s="16"/>
      <x:c r="P68" s="16"/>
      <x:c r="Q68" s="32" t="str">
        <x:f>IF(A68="","",IF(ISNUMBER(H68),IF(COUNT(I68,L68,M68)=COUNTA(I68,L68,M68),ROUND(H68-SUM(I68)+SUM(L68)+SUM(M68),2),"Review amounts"),IF(ISBLANK(H68),"","Review amounts")))</x:f>
      </x:c>
      <x:c r="R68" s="32" t="str">
        <x:f>IF(ISNUMBER(Q68),IF(OR(ISBLANK(K68),ISNUMBER(K68)),ROUND(Q68-SUM(K68),2),"Review amounts"),Q68)</x:f>
      </x:c>
      <x:c r="S68" s="32" t="str">
        <x:f>IF(ISNUMBER(R68),IF(COUNTIFS(Allocations!$C$7:$C$206,A68,Allocations!$F$7:$F$206,"Review allocation")&gt;0,"Review allocation",SUMIF(Allocations!$C$7:$C$206,A68,Allocations!$F$7:$F$206)),R68)</x:f>
      </x:c>
      <x:c r="T68" s="32" t="str">
        <x:f>IF(ISNUMBER(R68),IF(ISNUMBER(S68),ROUND(R68-S68,2),S68),R68)</x:f>
      </x:c>
    </x:row>
    <x:row r="69" ht="25" customHeight="1">
      <x:c r="A69" s="16"/>
      <x:c r="B69" s="16"/>
      <x:c r="C69" s="16"/>
      <x:c r="D69" s="16"/>
      <x:c r="E69" s="16"/>
      <x:c r="F69" s="17"/>
      <x:c r="G69" s="18"/>
      <x:c r="H69" s="19"/>
      <x:c r="I69" s="19"/>
      <x:c r="J69" s="16"/>
      <x:c r="K69" s="19"/>
      <x:c r="L69" s="19"/>
      <x:c r="M69" s="19"/>
      <x:c r="N69" s="16"/>
      <x:c r="O69" s="16"/>
      <x:c r="P69" s="16"/>
      <x:c r="Q69" s="32" t="str">
        <x:f>IF(A69="","",IF(ISNUMBER(H69),IF(COUNT(I69,L69,M69)=COUNTA(I69,L69,M69),ROUND(H69-SUM(I69)+SUM(L69)+SUM(M69),2),"Review amounts"),IF(ISBLANK(H69),"","Review amounts")))</x:f>
      </x:c>
      <x:c r="R69" s="32" t="str">
        <x:f>IF(ISNUMBER(Q69),IF(OR(ISBLANK(K69),ISNUMBER(K69)),ROUND(Q69-SUM(K69),2),"Review amounts"),Q69)</x:f>
      </x:c>
      <x:c r="S69" s="32" t="str">
        <x:f>IF(ISNUMBER(R69),IF(COUNTIFS(Allocations!$C$7:$C$206,A69,Allocations!$F$7:$F$206,"Review allocation")&gt;0,"Review allocation",SUMIF(Allocations!$C$7:$C$206,A69,Allocations!$F$7:$F$206)),R69)</x:f>
      </x:c>
      <x:c r="T69" s="32" t="str">
        <x:f>IF(ISNUMBER(R69),IF(ISNUMBER(S69),ROUND(R69-S69,2),S69),R69)</x:f>
      </x:c>
    </x:row>
    <x:row r="70" ht="25" customHeight="1">
      <x:c r="A70" s="16"/>
      <x:c r="B70" s="16"/>
      <x:c r="C70" s="16"/>
      <x:c r="D70" s="16"/>
      <x:c r="E70" s="16"/>
      <x:c r="F70" s="17"/>
      <x:c r="G70" s="18"/>
      <x:c r="H70" s="19"/>
      <x:c r="I70" s="19"/>
      <x:c r="J70" s="16"/>
      <x:c r="K70" s="19"/>
      <x:c r="L70" s="19"/>
      <x:c r="M70" s="19"/>
      <x:c r="N70" s="16"/>
      <x:c r="O70" s="16"/>
      <x:c r="P70" s="16"/>
      <x:c r="Q70" s="32" t="str">
        <x:f>IF(A70="","",IF(ISNUMBER(H70),IF(COUNT(I70,L70,M70)=COUNTA(I70,L70,M70),ROUND(H70-SUM(I70)+SUM(L70)+SUM(M70),2),"Review amounts"),IF(ISBLANK(H70),"","Review amounts")))</x:f>
      </x:c>
      <x:c r="R70" s="32" t="str">
        <x:f>IF(ISNUMBER(Q70),IF(OR(ISBLANK(K70),ISNUMBER(K70)),ROUND(Q70-SUM(K70),2),"Review amounts"),Q70)</x:f>
      </x:c>
      <x:c r="S70" s="32" t="str">
        <x:f>IF(ISNUMBER(R70),IF(COUNTIFS(Allocations!$C$7:$C$206,A70,Allocations!$F$7:$F$206,"Review allocation")&gt;0,"Review allocation",SUMIF(Allocations!$C$7:$C$206,A70,Allocations!$F$7:$F$206)),R70)</x:f>
      </x:c>
      <x:c r="T70" s="32" t="str">
        <x:f>IF(ISNUMBER(R70),IF(ISNUMBER(S70),ROUND(R70-S70,2),S70),R70)</x:f>
      </x:c>
    </x:row>
    <x:row r="71" ht="25" customHeight="1">
      <x:c r="A71" s="16"/>
      <x:c r="B71" s="16"/>
      <x:c r="C71" s="16"/>
      <x:c r="D71" s="16"/>
      <x:c r="E71" s="16"/>
      <x:c r="F71" s="17"/>
      <x:c r="G71" s="18"/>
      <x:c r="H71" s="19"/>
      <x:c r="I71" s="19"/>
      <x:c r="J71" s="16"/>
      <x:c r="K71" s="19"/>
      <x:c r="L71" s="19"/>
      <x:c r="M71" s="19"/>
      <x:c r="N71" s="16"/>
      <x:c r="O71" s="16"/>
      <x:c r="P71" s="16"/>
      <x:c r="Q71" s="32" t="str">
        <x:f>IF(A71="","",IF(ISNUMBER(H71),IF(COUNT(I71,L71,M71)=COUNTA(I71,L71,M71),ROUND(H71-SUM(I71)+SUM(L71)+SUM(M71),2),"Review amounts"),IF(ISBLANK(H71),"","Review amounts")))</x:f>
      </x:c>
      <x:c r="R71" s="32" t="str">
        <x:f>IF(ISNUMBER(Q71),IF(OR(ISBLANK(K71),ISNUMBER(K71)),ROUND(Q71-SUM(K71),2),"Review amounts"),Q71)</x:f>
      </x:c>
      <x:c r="S71" s="32" t="str">
        <x:f>IF(ISNUMBER(R71),IF(COUNTIFS(Allocations!$C$7:$C$206,A71,Allocations!$F$7:$F$206,"Review allocation")&gt;0,"Review allocation",SUMIF(Allocations!$C$7:$C$206,A71,Allocations!$F$7:$F$206)),R71)</x:f>
      </x:c>
      <x:c r="T71" s="32" t="str">
        <x:f>IF(ISNUMBER(R71),IF(ISNUMBER(S71),ROUND(R71-S71,2),S71),R71)</x:f>
      </x:c>
    </x:row>
    <x:row r="72" ht="25" customHeight="1">
      <x:c r="A72" s="16"/>
      <x:c r="B72" s="16"/>
      <x:c r="C72" s="16"/>
      <x:c r="D72" s="16"/>
      <x:c r="E72" s="16"/>
      <x:c r="F72" s="17"/>
      <x:c r="G72" s="18"/>
      <x:c r="H72" s="19"/>
      <x:c r="I72" s="19"/>
      <x:c r="J72" s="16"/>
      <x:c r="K72" s="19"/>
      <x:c r="L72" s="19"/>
      <x:c r="M72" s="19"/>
      <x:c r="N72" s="16"/>
      <x:c r="O72" s="16"/>
      <x:c r="P72" s="16"/>
      <x:c r="Q72" s="32" t="str">
        <x:f>IF(A72="","",IF(ISNUMBER(H72),IF(COUNT(I72,L72,M72)=COUNTA(I72,L72,M72),ROUND(H72-SUM(I72)+SUM(L72)+SUM(M72),2),"Review amounts"),IF(ISBLANK(H72),"","Review amounts")))</x:f>
      </x:c>
      <x:c r="R72" s="32" t="str">
        <x:f>IF(ISNUMBER(Q72),IF(OR(ISBLANK(K72),ISNUMBER(K72)),ROUND(Q72-SUM(K72),2),"Review amounts"),Q72)</x:f>
      </x:c>
      <x:c r="S72" s="32" t="str">
        <x:f>IF(ISNUMBER(R72),IF(COUNTIFS(Allocations!$C$7:$C$206,A72,Allocations!$F$7:$F$206,"Review allocation")&gt;0,"Review allocation",SUMIF(Allocations!$C$7:$C$206,A72,Allocations!$F$7:$F$206)),R72)</x:f>
      </x:c>
      <x:c r="T72" s="32" t="str">
        <x:f>IF(ISNUMBER(R72),IF(ISNUMBER(S72),ROUND(R72-S72,2),S72),R72)</x:f>
      </x:c>
    </x:row>
    <x:row r="73" ht="25" customHeight="1">
      <x:c r="A73" s="16"/>
      <x:c r="B73" s="16"/>
      <x:c r="C73" s="16"/>
      <x:c r="D73" s="16"/>
      <x:c r="E73" s="16"/>
      <x:c r="F73" s="17"/>
      <x:c r="G73" s="18"/>
      <x:c r="H73" s="19"/>
      <x:c r="I73" s="19"/>
      <x:c r="J73" s="16"/>
      <x:c r="K73" s="19"/>
      <x:c r="L73" s="19"/>
      <x:c r="M73" s="19"/>
      <x:c r="N73" s="16"/>
      <x:c r="O73" s="16"/>
      <x:c r="P73" s="16"/>
      <x:c r="Q73" s="32" t="str">
        <x:f>IF(A73="","",IF(ISNUMBER(H73),IF(COUNT(I73,L73,M73)=COUNTA(I73,L73,M73),ROUND(H73-SUM(I73)+SUM(L73)+SUM(M73),2),"Review amounts"),IF(ISBLANK(H73),"","Review amounts")))</x:f>
      </x:c>
      <x:c r="R73" s="32" t="str">
        <x:f>IF(ISNUMBER(Q73),IF(OR(ISBLANK(K73),ISNUMBER(K73)),ROUND(Q73-SUM(K73),2),"Review amounts"),Q73)</x:f>
      </x:c>
      <x:c r="S73" s="32" t="str">
        <x:f>IF(ISNUMBER(R73),IF(COUNTIFS(Allocations!$C$7:$C$206,A73,Allocations!$F$7:$F$206,"Review allocation")&gt;0,"Review allocation",SUMIF(Allocations!$C$7:$C$206,A73,Allocations!$F$7:$F$206)),R73)</x:f>
      </x:c>
      <x:c r="T73" s="32" t="str">
        <x:f>IF(ISNUMBER(R73),IF(ISNUMBER(S73),ROUND(R73-S73,2),S73),R73)</x:f>
      </x:c>
    </x:row>
    <x:row r="74" ht="25" customHeight="1">
      <x:c r="A74" s="16"/>
      <x:c r="B74" s="16"/>
      <x:c r="C74" s="16"/>
      <x:c r="D74" s="16"/>
      <x:c r="E74" s="16"/>
      <x:c r="F74" s="17"/>
      <x:c r="G74" s="18"/>
      <x:c r="H74" s="19"/>
      <x:c r="I74" s="19"/>
      <x:c r="J74" s="16"/>
      <x:c r="K74" s="19"/>
      <x:c r="L74" s="19"/>
      <x:c r="M74" s="19"/>
      <x:c r="N74" s="16"/>
      <x:c r="O74" s="16"/>
      <x:c r="P74" s="16"/>
      <x:c r="Q74" s="32" t="str">
        <x:f>IF(A74="","",IF(ISNUMBER(H74),IF(COUNT(I74,L74,M74)=COUNTA(I74,L74,M74),ROUND(H74-SUM(I74)+SUM(L74)+SUM(M74),2),"Review amounts"),IF(ISBLANK(H74),"","Review amounts")))</x:f>
      </x:c>
      <x:c r="R74" s="32" t="str">
        <x:f>IF(ISNUMBER(Q74),IF(OR(ISBLANK(K74),ISNUMBER(K74)),ROUND(Q74-SUM(K74),2),"Review amounts"),Q74)</x:f>
      </x:c>
      <x:c r="S74" s="32" t="str">
        <x:f>IF(ISNUMBER(R74),IF(COUNTIFS(Allocations!$C$7:$C$206,A74,Allocations!$F$7:$F$206,"Review allocation")&gt;0,"Review allocation",SUMIF(Allocations!$C$7:$C$206,A74,Allocations!$F$7:$F$206)),R74)</x:f>
      </x:c>
      <x:c r="T74" s="32" t="str">
        <x:f>IF(ISNUMBER(R74),IF(ISNUMBER(S74),ROUND(R74-S74,2),S74),R74)</x:f>
      </x:c>
    </x:row>
    <x:row r="75" ht="25" customHeight="1">
      <x:c r="A75" s="16"/>
      <x:c r="B75" s="16"/>
      <x:c r="C75" s="16"/>
      <x:c r="D75" s="16"/>
      <x:c r="E75" s="16"/>
      <x:c r="F75" s="17"/>
      <x:c r="G75" s="18"/>
      <x:c r="H75" s="19"/>
      <x:c r="I75" s="19"/>
      <x:c r="J75" s="16"/>
      <x:c r="K75" s="19"/>
      <x:c r="L75" s="19"/>
      <x:c r="M75" s="19"/>
      <x:c r="N75" s="16"/>
      <x:c r="O75" s="16"/>
      <x:c r="P75" s="16"/>
      <x:c r="Q75" s="32" t="str">
        <x:f>IF(A75="","",IF(ISNUMBER(H75),IF(COUNT(I75,L75,M75)=COUNTA(I75,L75,M75),ROUND(H75-SUM(I75)+SUM(L75)+SUM(M75),2),"Review amounts"),IF(ISBLANK(H75),"","Review amounts")))</x:f>
      </x:c>
      <x:c r="R75" s="32" t="str">
        <x:f>IF(ISNUMBER(Q75),IF(OR(ISBLANK(K75),ISNUMBER(K75)),ROUND(Q75-SUM(K75),2),"Review amounts"),Q75)</x:f>
      </x:c>
      <x:c r="S75" s="32" t="str">
        <x:f>IF(ISNUMBER(R75),IF(COUNTIFS(Allocations!$C$7:$C$206,A75,Allocations!$F$7:$F$206,"Review allocation")&gt;0,"Review allocation",SUMIF(Allocations!$C$7:$C$206,A75,Allocations!$F$7:$F$206)),R75)</x:f>
      </x:c>
      <x:c r="T75" s="32" t="str">
        <x:f>IF(ISNUMBER(R75),IF(ISNUMBER(S75),ROUND(R75-S75,2),S75),R75)</x:f>
      </x:c>
    </x:row>
    <x:row r="76" ht="25" customHeight="1">
      <x:c r="A76" s="16"/>
      <x:c r="B76" s="16"/>
      <x:c r="C76" s="16"/>
      <x:c r="D76" s="16"/>
      <x:c r="E76" s="16"/>
      <x:c r="F76" s="17"/>
      <x:c r="G76" s="18"/>
      <x:c r="H76" s="19"/>
      <x:c r="I76" s="19"/>
      <x:c r="J76" s="16"/>
      <x:c r="K76" s="19"/>
      <x:c r="L76" s="19"/>
      <x:c r="M76" s="19"/>
      <x:c r="N76" s="16"/>
      <x:c r="O76" s="16"/>
      <x:c r="P76" s="16"/>
      <x:c r="Q76" s="32" t="str">
        <x:f>IF(A76="","",IF(ISNUMBER(H76),IF(COUNT(I76,L76,M76)=COUNTA(I76,L76,M76),ROUND(H76-SUM(I76)+SUM(L76)+SUM(M76),2),"Review amounts"),IF(ISBLANK(H76),"","Review amounts")))</x:f>
      </x:c>
      <x:c r="R76" s="32" t="str">
        <x:f>IF(ISNUMBER(Q76),IF(OR(ISBLANK(K76),ISNUMBER(K76)),ROUND(Q76-SUM(K76),2),"Review amounts"),Q76)</x:f>
      </x:c>
      <x:c r="S76" s="32" t="str">
        <x:f>IF(ISNUMBER(R76),IF(COUNTIFS(Allocations!$C$7:$C$206,A76,Allocations!$F$7:$F$206,"Review allocation")&gt;0,"Review allocation",SUMIF(Allocations!$C$7:$C$206,A76,Allocations!$F$7:$F$206)),R76)</x:f>
      </x:c>
      <x:c r="T76" s="32" t="str">
        <x:f>IF(ISNUMBER(R76),IF(ISNUMBER(S76),ROUND(R76-S76,2),S76),R76)</x:f>
      </x:c>
    </x:row>
    <x:row r="77" ht="25" customHeight="1">
      <x:c r="A77" s="16"/>
      <x:c r="B77" s="16"/>
      <x:c r="C77" s="16"/>
      <x:c r="D77" s="16"/>
      <x:c r="E77" s="16"/>
      <x:c r="F77" s="17"/>
      <x:c r="G77" s="18"/>
      <x:c r="H77" s="19"/>
      <x:c r="I77" s="19"/>
      <x:c r="J77" s="16"/>
      <x:c r="K77" s="19"/>
      <x:c r="L77" s="19"/>
      <x:c r="M77" s="19"/>
      <x:c r="N77" s="16"/>
      <x:c r="O77" s="16"/>
      <x:c r="P77" s="16"/>
      <x:c r="Q77" s="32" t="str">
        <x:f>IF(A77="","",IF(ISNUMBER(H77),IF(COUNT(I77,L77,M77)=COUNTA(I77,L77,M77),ROUND(H77-SUM(I77)+SUM(L77)+SUM(M77),2),"Review amounts"),IF(ISBLANK(H77),"","Review amounts")))</x:f>
      </x:c>
      <x:c r="R77" s="32" t="str">
        <x:f>IF(ISNUMBER(Q77),IF(OR(ISBLANK(K77),ISNUMBER(K77)),ROUND(Q77-SUM(K77),2),"Review amounts"),Q77)</x:f>
      </x:c>
      <x:c r="S77" s="32" t="str">
        <x:f>IF(ISNUMBER(R77),IF(COUNTIFS(Allocations!$C$7:$C$206,A77,Allocations!$F$7:$F$206,"Review allocation")&gt;0,"Review allocation",SUMIF(Allocations!$C$7:$C$206,A77,Allocations!$F$7:$F$206)),R77)</x:f>
      </x:c>
      <x:c r="T77" s="32" t="str">
        <x:f>IF(ISNUMBER(R77),IF(ISNUMBER(S77),ROUND(R77-S77,2),S77),R77)</x:f>
      </x:c>
    </x:row>
    <x:row r="78" ht="25" customHeight="1">
      <x:c r="A78" s="16"/>
      <x:c r="B78" s="16"/>
      <x:c r="C78" s="16"/>
      <x:c r="D78" s="16"/>
      <x:c r="E78" s="16"/>
      <x:c r="F78" s="17"/>
      <x:c r="G78" s="18"/>
      <x:c r="H78" s="19"/>
      <x:c r="I78" s="19"/>
      <x:c r="J78" s="16"/>
      <x:c r="K78" s="19"/>
      <x:c r="L78" s="19"/>
      <x:c r="M78" s="19"/>
      <x:c r="N78" s="16"/>
      <x:c r="O78" s="16"/>
      <x:c r="P78" s="16"/>
      <x:c r="Q78" s="32" t="str">
        <x:f>IF(A78="","",IF(ISNUMBER(H78),IF(COUNT(I78,L78,M78)=COUNTA(I78,L78,M78),ROUND(H78-SUM(I78)+SUM(L78)+SUM(M78),2),"Review amounts"),IF(ISBLANK(H78),"","Review amounts")))</x:f>
      </x:c>
      <x:c r="R78" s="32" t="str">
        <x:f>IF(ISNUMBER(Q78),IF(OR(ISBLANK(K78),ISNUMBER(K78)),ROUND(Q78-SUM(K78),2),"Review amounts"),Q78)</x:f>
      </x:c>
      <x:c r="S78" s="32" t="str">
        <x:f>IF(ISNUMBER(R78),IF(COUNTIFS(Allocations!$C$7:$C$206,A78,Allocations!$F$7:$F$206,"Review allocation")&gt;0,"Review allocation",SUMIF(Allocations!$C$7:$C$206,A78,Allocations!$F$7:$F$206)),R78)</x:f>
      </x:c>
      <x:c r="T78" s="32" t="str">
        <x:f>IF(ISNUMBER(R78),IF(ISNUMBER(S78),ROUND(R78-S78,2),S78),R78)</x:f>
      </x:c>
    </x:row>
    <x:row r="79" ht="25" customHeight="1">
      <x:c r="A79" s="16"/>
      <x:c r="B79" s="16"/>
      <x:c r="C79" s="16"/>
      <x:c r="D79" s="16"/>
      <x:c r="E79" s="16"/>
      <x:c r="F79" s="17"/>
      <x:c r="G79" s="18"/>
      <x:c r="H79" s="19"/>
      <x:c r="I79" s="19"/>
      <x:c r="J79" s="16"/>
      <x:c r="K79" s="19"/>
      <x:c r="L79" s="19"/>
      <x:c r="M79" s="19"/>
      <x:c r="N79" s="16"/>
      <x:c r="O79" s="16"/>
      <x:c r="P79" s="16"/>
      <x:c r="Q79" s="32" t="str">
        <x:f>IF(A79="","",IF(ISNUMBER(H79),IF(COUNT(I79,L79,M79)=COUNTA(I79,L79,M79),ROUND(H79-SUM(I79)+SUM(L79)+SUM(M79),2),"Review amounts"),IF(ISBLANK(H79),"","Review amounts")))</x:f>
      </x:c>
      <x:c r="R79" s="32" t="str">
        <x:f>IF(ISNUMBER(Q79),IF(OR(ISBLANK(K79),ISNUMBER(K79)),ROUND(Q79-SUM(K79),2),"Review amounts"),Q79)</x:f>
      </x:c>
      <x:c r="S79" s="32" t="str">
        <x:f>IF(ISNUMBER(R79),IF(COUNTIFS(Allocations!$C$7:$C$206,A79,Allocations!$F$7:$F$206,"Review allocation")&gt;0,"Review allocation",SUMIF(Allocations!$C$7:$C$206,A79,Allocations!$F$7:$F$206)),R79)</x:f>
      </x:c>
      <x:c r="T79" s="32" t="str">
        <x:f>IF(ISNUMBER(R79),IF(ISNUMBER(S79),ROUND(R79-S79,2),S79),R79)</x:f>
      </x:c>
    </x:row>
    <x:row r="80" ht="25" customHeight="1">
      <x:c r="A80" s="16"/>
      <x:c r="B80" s="16"/>
      <x:c r="C80" s="16"/>
      <x:c r="D80" s="16"/>
      <x:c r="E80" s="16"/>
      <x:c r="F80" s="17"/>
      <x:c r="G80" s="18"/>
      <x:c r="H80" s="19"/>
      <x:c r="I80" s="19"/>
      <x:c r="J80" s="16"/>
      <x:c r="K80" s="19"/>
      <x:c r="L80" s="19"/>
      <x:c r="M80" s="19"/>
      <x:c r="N80" s="16"/>
      <x:c r="O80" s="16"/>
      <x:c r="P80" s="16"/>
      <x:c r="Q80" s="32" t="str">
        <x:f>IF(A80="","",IF(ISNUMBER(H80),IF(COUNT(I80,L80,M80)=COUNTA(I80,L80,M80),ROUND(H80-SUM(I80)+SUM(L80)+SUM(M80),2),"Review amounts"),IF(ISBLANK(H80),"","Review amounts")))</x:f>
      </x:c>
      <x:c r="R80" s="32" t="str">
        <x:f>IF(ISNUMBER(Q80),IF(OR(ISBLANK(K80),ISNUMBER(K80)),ROUND(Q80-SUM(K80),2),"Review amounts"),Q80)</x:f>
      </x:c>
      <x:c r="S80" s="32" t="str">
        <x:f>IF(ISNUMBER(R80),IF(COUNTIFS(Allocations!$C$7:$C$206,A80,Allocations!$F$7:$F$206,"Review allocation")&gt;0,"Review allocation",SUMIF(Allocations!$C$7:$C$206,A80,Allocations!$F$7:$F$206)),R80)</x:f>
      </x:c>
      <x:c r="T80" s="32" t="str">
        <x:f>IF(ISNUMBER(R80),IF(ISNUMBER(S80),ROUND(R80-S80,2),S80),R80)</x:f>
      </x:c>
    </x:row>
    <x:row r="81" ht="25" customHeight="1">
      <x:c r="A81" s="16"/>
      <x:c r="B81" s="16"/>
      <x:c r="C81" s="16"/>
      <x:c r="D81" s="16"/>
      <x:c r="E81" s="16"/>
      <x:c r="F81" s="17"/>
      <x:c r="G81" s="18"/>
      <x:c r="H81" s="19"/>
      <x:c r="I81" s="19"/>
      <x:c r="J81" s="16"/>
      <x:c r="K81" s="19"/>
      <x:c r="L81" s="19"/>
      <x:c r="M81" s="19"/>
      <x:c r="N81" s="16"/>
      <x:c r="O81" s="16"/>
      <x:c r="P81" s="16"/>
      <x:c r="Q81" s="32" t="str">
        <x:f>IF(A81="","",IF(ISNUMBER(H81),IF(COUNT(I81,L81,M81)=COUNTA(I81,L81,M81),ROUND(H81-SUM(I81)+SUM(L81)+SUM(M81),2),"Review amounts"),IF(ISBLANK(H81),"","Review amounts")))</x:f>
      </x:c>
      <x:c r="R81" s="32" t="str">
        <x:f>IF(ISNUMBER(Q81),IF(OR(ISBLANK(K81),ISNUMBER(K81)),ROUND(Q81-SUM(K81),2),"Review amounts"),Q81)</x:f>
      </x:c>
      <x:c r="S81" s="32" t="str">
        <x:f>IF(ISNUMBER(R81),IF(COUNTIFS(Allocations!$C$7:$C$206,A81,Allocations!$F$7:$F$206,"Review allocation")&gt;0,"Review allocation",SUMIF(Allocations!$C$7:$C$206,A81,Allocations!$F$7:$F$206)),R81)</x:f>
      </x:c>
      <x:c r="T81" s="32" t="str">
        <x:f>IF(ISNUMBER(R81),IF(ISNUMBER(S81),ROUND(R81-S81,2),S81),R81)</x:f>
      </x:c>
    </x:row>
    <x:row r="82" ht="25" customHeight="1">
      <x:c r="A82" s="16"/>
      <x:c r="B82" s="16"/>
      <x:c r="C82" s="16"/>
      <x:c r="D82" s="16"/>
      <x:c r="E82" s="16"/>
      <x:c r="F82" s="17"/>
      <x:c r="G82" s="18"/>
      <x:c r="H82" s="19"/>
      <x:c r="I82" s="19"/>
      <x:c r="J82" s="16"/>
      <x:c r="K82" s="19"/>
      <x:c r="L82" s="19"/>
      <x:c r="M82" s="19"/>
      <x:c r="N82" s="16"/>
      <x:c r="O82" s="16"/>
      <x:c r="P82" s="16"/>
      <x:c r="Q82" s="32" t="str">
        <x:f>IF(A82="","",IF(ISNUMBER(H82),IF(COUNT(I82,L82,M82)=COUNTA(I82,L82,M82),ROUND(H82-SUM(I82)+SUM(L82)+SUM(M82),2),"Review amounts"),IF(ISBLANK(H82),"","Review amounts")))</x:f>
      </x:c>
      <x:c r="R82" s="32" t="str">
        <x:f>IF(ISNUMBER(Q82),IF(OR(ISBLANK(K82),ISNUMBER(K82)),ROUND(Q82-SUM(K82),2),"Review amounts"),Q82)</x:f>
      </x:c>
      <x:c r="S82" s="32" t="str">
        <x:f>IF(ISNUMBER(R82),IF(COUNTIFS(Allocations!$C$7:$C$206,A82,Allocations!$F$7:$F$206,"Review allocation")&gt;0,"Review allocation",SUMIF(Allocations!$C$7:$C$206,A82,Allocations!$F$7:$F$206)),R82)</x:f>
      </x:c>
      <x:c r="T82" s="32" t="str">
        <x:f>IF(ISNUMBER(R82),IF(ISNUMBER(S82),ROUND(R82-S82,2),S82),R82)</x:f>
      </x:c>
    </x:row>
    <x:row r="83" ht="25" customHeight="1">
      <x:c r="A83" s="16"/>
      <x:c r="B83" s="16"/>
      <x:c r="C83" s="16"/>
      <x:c r="D83" s="16"/>
      <x:c r="E83" s="16"/>
      <x:c r="F83" s="17"/>
      <x:c r="G83" s="18"/>
      <x:c r="H83" s="19"/>
      <x:c r="I83" s="19"/>
      <x:c r="J83" s="16"/>
      <x:c r="K83" s="19"/>
      <x:c r="L83" s="19"/>
      <x:c r="M83" s="19"/>
      <x:c r="N83" s="16"/>
      <x:c r="O83" s="16"/>
      <x:c r="P83" s="16"/>
      <x:c r="Q83" s="32" t="str">
        <x:f>IF(A83="","",IF(ISNUMBER(H83),IF(COUNT(I83,L83,M83)=COUNTA(I83,L83,M83),ROUND(H83-SUM(I83)+SUM(L83)+SUM(M83),2),"Review amounts"),IF(ISBLANK(H83),"","Review amounts")))</x:f>
      </x:c>
      <x:c r="R83" s="32" t="str">
        <x:f>IF(ISNUMBER(Q83),IF(OR(ISBLANK(K83),ISNUMBER(K83)),ROUND(Q83-SUM(K83),2),"Review amounts"),Q83)</x:f>
      </x:c>
      <x:c r="S83" s="32" t="str">
        <x:f>IF(ISNUMBER(R83),IF(COUNTIFS(Allocations!$C$7:$C$206,A83,Allocations!$F$7:$F$206,"Review allocation")&gt;0,"Review allocation",SUMIF(Allocations!$C$7:$C$206,A83,Allocations!$F$7:$F$206)),R83)</x:f>
      </x:c>
      <x:c r="T83" s="32" t="str">
        <x:f>IF(ISNUMBER(R83),IF(ISNUMBER(S83),ROUND(R83-S83,2),S83),R83)</x:f>
      </x:c>
    </x:row>
    <x:row r="84" ht="25" customHeight="1">
      <x:c r="A84" s="16"/>
      <x:c r="B84" s="16"/>
      <x:c r="C84" s="16"/>
      <x:c r="D84" s="16"/>
      <x:c r="E84" s="16"/>
      <x:c r="F84" s="17"/>
      <x:c r="G84" s="18"/>
      <x:c r="H84" s="19"/>
      <x:c r="I84" s="19"/>
      <x:c r="J84" s="16"/>
      <x:c r="K84" s="19"/>
      <x:c r="L84" s="19"/>
      <x:c r="M84" s="19"/>
      <x:c r="N84" s="16"/>
      <x:c r="O84" s="16"/>
      <x:c r="P84" s="16"/>
      <x:c r="Q84" s="32" t="str">
        <x:f>IF(A84="","",IF(ISNUMBER(H84),IF(COUNT(I84,L84,M84)=COUNTA(I84,L84,M84),ROUND(H84-SUM(I84)+SUM(L84)+SUM(M84),2),"Review amounts"),IF(ISBLANK(H84),"","Review amounts")))</x:f>
      </x:c>
      <x:c r="R84" s="32" t="str">
        <x:f>IF(ISNUMBER(Q84),IF(OR(ISBLANK(K84),ISNUMBER(K84)),ROUND(Q84-SUM(K84),2),"Review amounts"),Q84)</x:f>
      </x:c>
      <x:c r="S84" s="32" t="str">
        <x:f>IF(ISNUMBER(R84),IF(COUNTIFS(Allocations!$C$7:$C$206,A84,Allocations!$F$7:$F$206,"Review allocation")&gt;0,"Review allocation",SUMIF(Allocations!$C$7:$C$206,A84,Allocations!$F$7:$F$206)),R84)</x:f>
      </x:c>
      <x:c r="T84" s="32" t="str">
        <x:f>IF(ISNUMBER(R84),IF(ISNUMBER(S84),ROUND(R84-S84,2),S84),R84)</x:f>
      </x:c>
    </x:row>
    <x:row r="85" ht="25" customHeight="1">
      <x:c r="A85" s="16"/>
      <x:c r="B85" s="16"/>
      <x:c r="C85" s="16"/>
      <x:c r="D85" s="16"/>
      <x:c r="E85" s="16"/>
      <x:c r="F85" s="17"/>
      <x:c r="G85" s="18"/>
      <x:c r="H85" s="19"/>
      <x:c r="I85" s="19"/>
      <x:c r="J85" s="16"/>
      <x:c r="K85" s="19"/>
      <x:c r="L85" s="19"/>
      <x:c r="M85" s="19"/>
      <x:c r="N85" s="16"/>
      <x:c r="O85" s="16"/>
      <x:c r="P85" s="16"/>
      <x:c r="Q85" s="32" t="str">
        <x:f>IF(A85="","",IF(ISNUMBER(H85),IF(COUNT(I85,L85,M85)=COUNTA(I85,L85,M85),ROUND(H85-SUM(I85)+SUM(L85)+SUM(M85),2),"Review amounts"),IF(ISBLANK(H85),"","Review amounts")))</x:f>
      </x:c>
      <x:c r="R85" s="32" t="str">
        <x:f>IF(ISNUMBER(Q85),IF(OR(ISBLANK(K85),ISNUMBER(K85)),ROUND(Q85-SUM(K85),2),"Review amounts"),Q85)</x:f>
      </x:c>
      <x:c r="S85" s="32" t="str">
        <x:f>IF(ISNUMBER(R85),IF(COUNTIFS(Allocations!$C$7:$C$206,A85,Allocations!$F$7:$F$206,"Review allocation")&gt;0,"Review allocation",SUMIF(Allocations!$C$7:$C$206,A85,Allocations!$F$7:$F$206)),R85)</x:f>
      </x:c>
      <x:c r="T85" s="32" t="str">
        <x:f>IF(ISNUMBER(R85),IF(ISNUMBER(S85),ROUND(R85-S85,2),S85),R85)</x:f>
      </x:c>
    </x:row>
    <x:row r="86" ht="25" customHeight="1">
      <x:c r="A86" s="16"/>
      <x:c r="B86" s="16"/>
      <x:c r="C86" s="16"/>
      <x:c r="D86" s="16"/>
      <x:c r="E86" s="16"/>
      <x:c r="F86" s="17"/>
      <x:c r="G86" s="18"/>
      <x:c r="H86" s="19"/>
      <x:c r="I86" s="19"/>
      <x:c r="J86" s="16"/>
      <x:c r="K86" s="19"/>
      <x:c r="L86" s="19"/>
      <x:c r="M86" s="19"/>
      <x:c r="N86" s="16"/>
      <x:c r="O86" s="16"/>
      <x:c r="P86" s="16"/>
      <x:c r="Q86" s="32" t="str">
        <x:f>IF(A86="","",IF(ISNUMBER(H86),IF(COUNT(I86,L86,M86)=COUNTA(I86,L86,M86),ROUND(H86-SUM(I86)+SUM(L86)+SUM(M86),2),"Review amounts"),IF(ISBLANK(H86),"","Review amounts")))</x:f>
      </x:c>
      <x:c r="R86" s="32" t="str">
        <x:f>IF(ISNUMBER(Q86),IF(OR(ISBLANK(K86),ISNUMBER(K86)),ROUND(Q86-SUM(K86),2),"Review amounts"),Q86)</x:f>
      </x:c>
      <x:c r="S86" s="32" t="str">
        <x:f>IF(ISNUMBER(R86),IF(COUNTIFS(Allocations!$C$7:$C$206,A86,Allocations!$F$7:$F$206,"Review allocation")&gt;0,"Review allocation",SUMIF(Allocations!$C$7:$C$206,A86,Allocations!$F$7:$F$206)),R86)</x:f>
      </x:c>
      <x:c r="T86" s="32" t="str">
        <x:f>IF(ISNUMBER(R86),IF(ISNUMBER(S86),ROUND(R86-S86,2),S86),R86)</x:f>
      </x:c>
    </x:row>
    <x:row r="87" ht="25" customHeight="1">
      <x:c r="A87" s="16"/>
      <x:c r="B87" s="16"/>
      <x:c r="C87" s="16"/>
      <x:c r="D87" s="16"/>
      <x:c r="E87" s="16"/>
      <x:c r="F87" s="17"/>
      <x:c r="G87" s="18"/>
      <x:c r="H87" s="19"/>
      <x:c r="I87" s="19"/>
      <x:c r="J87" s="16"/>
      <x:c r="K87" s="19"/>
      <x:c r="L87" s="19"/>
      <x:c r="M87" s="19"/>
      <x:c r="N87" s="16"/>
      <x:c r="O87" s="16"/>
      <x:c r="P87" s="16"/>
      <x:c r="Q87" s="32" t="str">
        <x:f>IF(A87="","",IF(ISNUMBER(H87),IF(COUNT(I87,L87,M87)=COUNTA(I87,L87,M87),ROUND(H87-SUM(I87)+SUM(L87)+SUM(M87),2),"Review amounts"),IF(ISBLANK(H87),"","Review amounts")))</x:f>
      </x:c>
      <x:c r="R87" s="32" t="str">
        <x:f>IF(ISNUMBER(Q87),IF(OR(ISBLANK(K87),ISNUMBER(K87)),ROUND(Q87-SUM(K87),2),"Review amounts"),Q87)</x:f>
      </x:c>
      <x:c r="S87" s="32" t="str">
        <x:f>IF(ISNUMBER(R87),IF(COUNTIFS(Allocations!$C$7:$C$206,A87,Allocations!$F$7:$F$206,"Review allocation")&gt;0,"Review allocation",SUMIF(Allocations!$C$7:$C$206,A87,Allocations!$F$7:$F$206)),R87)</x:f>
      </x:c>
      <x:c r="T87" s="32" t="str">
        <x:f>IF(ISNUMBER(R87),IF(ISNUMBER(S87),ROUND(R87-S87,2),S87),R87)</x:f>
      </x:c>
    </x:row>
    <x:row r="88" ht="25" customHeight="1">
      <x:c r="A88" s="16"/>
      <x:c r="B88" s="16"/>
      <x:c r="C88" s="16"/>
      <x:c r="D88" s="16"/>
      <x:c r="E88" s="16"/>
      <x:c r="F88" s="17"/>
      <x:c r="G88" s="18"/>
      <x:c r="H88" s="19"/>
      <x:c r="I88" s="19"/>
      <x:c r="J88" s="16"/>
      <x:c r="K88" s="19"/>
      <x:c r="L88" s="19"/>
      <x:c r="M88" s="19"/>
      <x:c r="N88" s="16"/>
      <x:c r="O88" s="16"/>
      <x:c r="P88" s="16"/>
      <x:c r="Q88" s="32" t="str">
        <x:f>IF(A88="","",IF(ISNUMBER(H88),IF(COUNT(I88,L88,M88)=COUNTA(I88,L88,M88),ROUND(H88-SUM(I88)+SUM(L88)+SUM(M88),2),"Review amounts"),IF(ISBLANK(H88),"","Review amounts")))</x:f>
      </x:c>
      <x:c r="R88" s="32" t="str">
        <x:f>IF(ISNUMBER(Q88),IF(OR(ISBLANK(K88),ISNUMBER(K88)),ROUND(Q88-SUM(K88),2),"Review amounts"),Q88)</x:f>
      </x:c>
      <x:c r="S88" s="32" t="str">
        <x:f>IF(ISNUMBER(R88),IF(COUNTIFS(Allocations!$C$7:$C$206,A88,Allocations!$F$7:$F$206,"Review allocation")&gt;0,"Review allocation",SUMIF(Allocations!$C$7:$C$206,A88,Allocations!$F$7:$F$206)),R88)</x:f>
      </x:c>
      <x:c r="T88" s="32" t="str">
        <x:f>IF(ISNUMBER(R88),IF(ISNUMBER(S88),ROUND(R88-S88,2),S88),R88)</x:f>
      </x:c>
    </x:row>
    <x:row r="89" ht="25" customHeight="1">
      <x:c r="A89" s="16"/>
      <x:c r="B89" s="16"/>
      <x:c r="C89" s="16"/>
      <x:c r="D89" s="16"/>
      <x:c r="E89" s="16"/>
      <x:c r="F89" s="17"/>
      <x:c r="G89" s="18"/>
      <x:c r="H89" s="19"/>
      <x:c r="I89" s="19"/>
      <x:c r="J89" s="16"/>
      <x:c r="K89" s="19"/>
      <x:c r="L89" s="19"/>
      <x:c r="M89" s="19"/>
      <x:c r="N89" s="16"/>
      <x:c r="O89" s="16"/>
      <x:c r="P89" s="16"/>
      <x:c r="Q89" s="32" t="str">
        <x:f>IF(A89="","",IF(ISNUMBER(H89),IF(COUNT(I89,L89,M89)=COUNTA(I89,L89,M89),ROUND(H89-SUM(I89)+SUM(L89)+SUM(M89),2),"Review amounts"),IF(ISBLANK(H89),"","Review amounts")))</x:f>
      </x:c>
      <x:c r="R89" s="32" t="str">
        <x:f>IF(ISNUMBER(Q89),IF(OR(ISBLANK(K89),ISNUMBER(K89)),ROUND(Q89-SUM(K89),2),"Review amounts"),Q89)</x:f>
      </x:c>
      <x:c r="S89" s="32" t="str">
        <x:f>IF(ISNUMBER(R89),IF(COUNTIFS(Allocations!$C$7:$C$206,A89,Allocations!$F$7:$F$206,"Review allocation")&gt;0,"Review allocation",SUMIF(Allocations!$C$7:$C$206,A89,Allocations!$F$7:$F$206)),R89)</x:f>
      </x:c>
      <x:c r="T89" s="32" t="str">
        <x:f>IF(ISNUMBER(R89),IF(ISNUMBER(S89),ROUND(R89-S89,2),S89),R89)</x:f>
      </x:c>
    </x:row>
    <x:row r="90" ht="25" customHeight="1">
      <x:c r="A90" s="16"/>
      <x:c r="B90" s="16"/>
      <x:c r="C90" s="16"/>
      <x:c r="D90" s="16"/>
      <x:c r="E90" s="16"/>
      <x:c r="F90" s="17"/>
      <x:c r="G90" s="18"/>
      <x:c r="H90" s="19"/>
      <x:c r="I90" s="19"/>
      <x:c r="J90" s="16"/>
      <x:c r="K90" s="19"/>
      <x:c r="L90" s="19"/>
      <x:c r="M90" s="19"/>
      <x:c r="N90" s="16"/>
      <x:c r="O90" s="16"/>
      <x:c r="P90" s="16"/>
      <x:c r="Q90" s="32" t="str">
        <x:f>IF(A90="","",IF(ISNUMBER(H90),IF(COUNT(I90,L90,M90)=COUNTA(I90,L90,M90),ROUND(H90-SUM(I90)+SUM(L90)+SUM(M90),2),"Review amounts"),IF(ISBLANK(H90),"","Review amounts")))</x:f>
      </x:c>
      <x:c r="R90" s="32" t="str">
        <x:f>IF(ISNUMBER(Q90),IF(OR(ISBLANK(K90),ISNUMBER(K90)),ROUND(Q90-SUM(K90),2),"Review amounts"),Q90)</x:f>
      </x:c>
      <x:c r="S90" s="32" t="str">
        <x:f>IF(ISNUMBER(R90),IF(COUNTIFS(Allocations!$C$7:$C$206,A90,Allocations!$F$7:$F$206,"Review allocation")&gt;0,"Review allocation",SUMIF(Allocations!$C$7:$C$206,A90,Allocations!$F$7:$F$206)),R90)</x:f>
      </x:c>
      <x:c r="T90" s="32" t="str">
        <x:f>IF(ISNUMBER(R90),IF(ISNUMBER(S90),ROUND(R90-S90,2),S90),R90)</x:f>
      </x:c>
    </x:row>
    <x:row r="91" ht="25" customHeight="1">
      <x:c r="A91" s="16"/>
      <x:c r="B91" s="16"/>
      <x:c r="C91" s="16"/>
      <x:c r="D91" s="16"/>
      <x:c r="E91" s="16"/>
      <x:c r="F91" s="17"/>
      <x:c r="G91" s="18"/>
      <x:c r="H91" s="19"/>
      <x:c r="I91" s="19"/>
      <x:c r="J91" s="16"/>
      <x:c r="K91" s="19"/>
      <x:c r="L91" s="19"/>
      <x:c r="M91" s="19"/>
      <x:c r="N91" s="16"/>
      <x:c r="O91" s="16"/>
      <x:c r="P91" s="16"/>
      <x:c r="Q91" s="32" t="str">
        <x:f>IF(A91="","",IF(ISNUMBER(H91),IF(COUNT(I91,L91,M91)=COUNTA(I91,L91,M91),ROUND(H91-SUM(I91)+SUM(L91)+SUM(M91),2),"Review amounts"),IF(ISBLANK(H91),"","Review amounts")))</x:f>
      </x:c>
      <x:c r="R91" s="32" t="str">
        <x:f>IF(ISNUMBER(Q91),IF(OR(ISBLANK(K91),ISNUMBER(K91)),ROUND(Q91-SUM(K91),2),"Review amounts"),Q91)</x:f>
      </x:c>
      <x:c r="S91" s="32" t="str">
        <x:f>IF(ISNUMBER(R91),IF(COUNTIFS(Allocations!$C$7:$C$206,A91,Allocations!$F$7:$F$206,"Review allocation")&gt;0,"Review allocation",SUMIF(Allocations!$C$7:$C$206,A91,Allocations!$F$7:$F$206)),R91)</x:f>
      </x:c>
      <x:c r="T91" s="32" t="str">
        <x:f>IF(ISNUMBER(R91),IF(ISNUMBER(S91),ROUND(R91-S91,2),S91),R91)</x:f>
      </x:c>
    </x:row>
    <x:row r="92" ht="25" customHeight="1">
      <x:c r="A92" s="16"/>
      <x:c r="B92" s="16"/>
      <x:c r="C92" s="16"/>
      <x:c r="D92" s="16"/>
      <x:c r="E92" s="16"/>
      <x:c r="F92" s="17"/>
      <x:c r="G92" s="18"/>
      <x:c r="H92" s="19"/>
      <x:c r="I92" s="19"/>
      <x:c r="J92" s="16"/>
      <x:c r="K92" s="19"/>
      <x:c r="L92" s="19"/>
      <x:c r="M92" s="19"/>
      <x:c r="N92" s="16"/>
      <x:c r="O92" s="16"/>
      <x:c r="P92" s="16"/>
      <x:c r="Q92" s="32" t="str">
        <x:f>IF(A92="","",IF(ISNUMBER(H92),IF(COUNT(I92,L92,M92)=COUNTA(I92,L92,M92),ROUND(H92-SUM(I92)+SUM(L92)+SUM(M92),2),"Review amounts"),IF(ISBLANK(H92),"","Review amounts")))</x:f>
      </x:c>
      <x:c r="R92" s="32" t="str">
        <x:f>IF(ISNUMBER(Q92),IF(OR(ISBLANK(K92),ISNUMBER(K92)),ROUND(Q92-SUM(K92),2),"Review amounts"),Q92)</x:f>
      </x:c>
      <x:c r="S92" s="32" t="str">
        <x:f>IF(ISNUMBER(R92),IF(COUNTIFS(Allocations!$C$7:$C$206,A92,Allocations!$F$7:$F$206,"Review allocation")&gt;0,"Review allocation",SUMIF(Allocations!$C$7:$C$206,A92,Allocations!$F$7:$F$206)),R92)</x:f>
      </x:c>
      <x:c r="T92" s="32" t="str">
        <x:f>IF(ISNUMBER(R92),IF(ISNUMBER(S92),ROUND(R92-S92,2),S92),R92)</x:f>
      </x:c>
    </x:row>
    <x:row r="93" ht="25" customHeight="1">
      <x:c r="A93" s="16"/>
      <x:c r="B93" s="16"/>
      <x:c r="C93" s="16"/>
      <x:c r="D93" s="16"/>
      <x:c r="E93" s="16"/>
      <x:c r="F93" s="17"/>
      <x:c r="G93" s="18"/>
      <x:c r="H93" s="19"/>
      <x:c r="I93" s="19"/>
      <x:c r="J93" s="16"/>
      <x:c r="K93" s="19"/>
      <x:c r="L93" s="19"/>
      <x:c r="M93" s="19"/>
      <x:c r="N93" s="16"/>
      <x:c r="O93" s="16"/>
      <x:c r="P93" s="16"/>
      <x:c r="Q93" s="32" t="str">
        <x:f>IF(A93="","",IF(ISNUMBER(H93),IF(COUNT(I93,L93,M93)=COUNTA(I93,L93,M93),ROUND(H93-SUM(I93)+SUM(L93)+SUM(M93),2),"Review amounts"),IF(ISBLANK(H93),"","Review amounts")))</x:f>
      </x:c>
      <x:c r="R93" s="32" t="str">
        <x:f>IF(ISNUMBER(Q93),IF(OR(ISBLANK(K93),ISNUMBER(K93)),ROUND(Q93-SUM(K93),2),"Review amounts"),Q93)</x:f>
      </x:c>
      <x:c r="S93" s="32" t="str">
        <x:f>IF(ISNUMBER(R93),IF(COUNTIFS(Allocations!$C$7:$C$206,A93,Allocations!$F$7:$F$206,"Review allocation")&gt;0,"Review allocation",SUMIF(Allocations!$C$7:$C$206,A93,Allocations!$F$7:$F$206)),R93)</x:f>
      </x:c>
      <x:c r="T93" s="32" t="str">
        <x:f>IF(ISNUMBER(R93),IF(ISNUMBER(S93),ROUND(R93-S93,2),S93),R93)</x:f>
      </x:c>
    </x:row>
    <x:row r="94" ht="25" customHeight="1">
      <x:c r="A94" s="16"/>
      <x:c r="B94" s="16"/>
      <x:c r="C94" s="16"/>
      <x:c r="D94" s="16"/>
      <x:c r="E94" s="16"/>
      <x:c r="F94" s="17"/>
      <x:c r="G94" s="18"/>
      <x:c r="H94" s="19"/>
      <x:c r="I94" s="19"/>
      <x:c r="J94" s="16"/>
      <x:c r="K94" s="19"/>
      <x:c r="L94" s="19"/>
      <x:c r="M94" s="19"/>
      <x:c r="N94" s="16"/>
      <x:c r="O94" s="16"/>
      <x:c r="P94" s="16"/>
      <x:c r="Q94" s="32" t="str">
        <x:f>IF(A94="","",IF(ISNUMBER(H94),IF(COUNT(I94,L94,M94)=COUNTA(I94,L94,M94),ROUND(H94-SUM(I94)+SUM(L94)+SUM(M94),2),"Review amounts"),IF(ISBLANK(H94),"","Review amounts")))</x:f>
      </x:c>
      <x:c r="R94" s="32" t="str">
        <x:f>IF(ISNUMBER(Q94),IF(OR(ISBLANK(K94),ISNUMBER(K94)),ROUND(Q94-SUM(K94),2),"Review amounts"),Q94)</x:f>
      </x:c>
      <x:c r="S94" s="32" t="str">
        <x:f>IF(ISNUMBER(R94),IF(COUNTIFS(Allocations!$C$7:$C$206,A94,Allocations!$F$7:$F$206,"Review allocation")&gt;0,"Review allocation",SUMIF(Allocations!$C$7:$C$206,A94,Allocations!$F$7:$F$206)),R94)</x:f>
      </x:c>
      <x:c r="T94" s="32" t="str">
        <x:f>IF(ISNUMBER(R94),IF(ISNUMBER(S94),ROUND(R94-S94,2),S94),R94)</x:f>
      </x:c>
    </x:row>
    <x:row r="95" ht="25" customHeight="1">
      <x:c r="A95" s="16"/>
      <x:c r="B95" s="16"/>
      <x:c r="C95" s="16"/>
      <x:c r="D95" s="16"/>
      <x:c r="E95" s="16"/>
      <x:c r="F95" s="17"/>
      <x:c r="G95" s="18"/>
      <x:c r="H95" s="19"/>
      <x:c r="I95" s="19"/>
      <x:c r="J95" s="16"/>
      <x:c r="K95" s="19"/>
      <x:c r="L95" s="19"/>
      <x:c r="M95" s="19"/>
      <x:c r="N95" s="16"/>
      <x:c r="O95" s="16"/>
      <x:c r="P95" s="16"/>
      <x:c r="Q95" s="32" t="str">
        <x:f>IF(A95="","",IF(ISNUMBER(H95),IF(COUNT(I95,L95,M95)=COUNTA(I95,L95,M95),ROUND(H95-SUM(I95)+SUM(L95)+SUM(M95),2),"Review amounts"),IF(ISBLANK(H95),"","Review amounts")))</x:f>
      </x:c>
      <x:c r="R95" s="32" t="str">
        <x:f>IF(ISNUMBER(Q95),IF(OR(ISBLANK(K95),ISNUMBER(K95)),ROUND(Q95-SUM(K95),2),"Review amounts"),Q95)</x:f>
      </x:c>
      <x:c r="S95" s="32" t="str">
        <x:f>IF(ISNUMBER(R95),IF(COUNTIFS(Allocations!$C$7:$C$206,A95,Allocations!$F$7:$F$206,"Review allocation")&gt;0,"Review allocation",SUMIF(Allocations!$C$7:$C$206,A95,Allocations!$F$7:$F$206)),R95)</x:f>
      </x:c>
      <x:c r="T95" s="32" t="str">
        <x:f>IF(ISNUMBER(R95),IF(ISNUMBER(S95),ROUND(R95-S95,2),S95),R95)</x:f>
      </x:c>
    </x:row>
    <x:row r="96" ht="25" customHeight="1">
      <x:c r="A96" s="16"/>
      <x:c r="B96" s="16"/>
      <x:c r="C96" s="16"/>
      <x:c r="D96" s="16"/>
      <x:c r="E96" s="16"/>
      <x:c r="F96" s="17"/>
      <x:c r="G96" s="18"/>
      <x:c r="H96" s="19"/>
      <x:c r="I96" s="19"/>
      <x:c r="J96" s="16"/>
      <x:c r="K96" s="19"/>
      <x:c r="L96" s="19"/>
      <x:c r="M96" s="19"/>
      <x:c r="N96" s="16"/>
      <x:c r="O96" s="16"/>
      <x:c r="P96" s="16"/>
      <x:c r="Q96" s="32" t="str">
        <x:f>IF(A96="","",IF(ISNUMBER(H96),IF(COUNT(I96,L96,M96)=COUNTA(I96,L96,M96),ROUND(H96-SUM(I96)+SUM(L96)+SUM(M96),2),"Review amounts"),IF(ISBLANK(H96),"","Review amounts")))</x:f>
      </x:c>
      <x:c r="R96" s="32" t="str">
        <x:f>IF(ISNUMBER(Q96),IF(OR(ISBLANK(K96),ISNUMBER(K96)),ROUND(Q96-SUM(K96),2),"Review amounts"),Q96)</x:f>
      </x:c>
      <x:c r="S96" s="32" t="str">
        <x:f>IF(ISNUMBER(R96),IF(COUNTIFS(Allocations!$C$7:$C$206,A96,Allocations!$F$7:$F$206,"Review allocation")&gt;0,"Review allocation",SUMIF(Allocations!$C$7:$C$206,A96,Allocations!$F$7:$F$206)),R96)</x:f>
      </x:c>
      <x:c r="T96" s="32" t="str">
        <x:f>IF(ISNUMBER(R96),IF(ISNUMBER(S96),ROUND(R96-S96,2),S96),R96)</x:f>
      </x:c>
    </x:row>
    <x:row r="97" ht="25" customHeight="1">
      <x:c r="A97" s="16"/>
      <x:c r="B97" s="16"/>
      <x:c r="C97" s="16"/>
      <x:c r="D97" s="16"/>
      <x:c r="E97" s="16"/>
      <x:c r="F97" s="17"/>
      <x:c r="G97" s="18"/>
      <x:c r="H97" s="19"/>
      <x:c r="I97" s="19"/>
      <x:c r="J97" s="16"/>
      <x:c r="K97" s="19"/>
      <x:c r="L97" s="19"/>
      <x:c r="M97" s="19"/>
      <x:c r="N97" s="16"/>
      <x:c r="O97" s="16"/>
      <x:c r="P97" s="16"/>
      <x:c r="Q97" s="32" t="str">
        <x:f>IF(A97="","",IF(ISNUMBER(H97),IF(COUNT(I97,L97,M97)=COUNTA(I97,L97,M97),ROUND(H97-SUM(I97)+SUM(L97)+SUM(M97),2),"Review amounts"),IF(ISBLANK(H97),"","Review amounts")))</x:f>
      </x:c>
      <x:c r="R97" s="32" t="str">
        <x:f>IF(ISNUMBER(Q97),IF(OR(ISBLANK(K97),ISNUMBER(K97)),ROUND(Q97-SUM(K97),2),"Review amounts"),Q97)</x:f>
      </x:c>
      <x:c r="S97" s="32" t="str">
        <x:f>IF(ISNUMBER(R97),IF(COUNTIFS(Allocations!$C$7:$C$206,A97,Allocations!$F$7:$F$206,"Review allocation")&gt;0,"Review allocation",SUMIF(Allocations!$C$7:$C$206,A97,Allocations!$F$7:$F$206)),R97)</x:f>
      </x:c>
      <x:c r="T97" s="32" t="str">
        <x:f>IF(ISNUMBER(R97),IF(ISNUMBER(S97),ROUND(R97-S97,2),S97),R97)</x:f>
      </x:c>
    </x:row>
    <x:row r="98" ht="25" customHeight="1">
      <x:c r="A98" s="16"/>
      <x:c r="B98" s="16"/>
      <x:c r="C98" s="16"/>
      <x:c r="D98" s="16"/>
      <x:c r="E98" s="16"/>
      <x:c r="F98" s="17"/>
      <x:c r="G98" s="18"/>
      <x:c r="H98" s="19"/>
      <x:c r="I98" s="19"/>
      <x:c r="J98" s="16"/>
      <x:c r="K98" s="19"/>
      <x:c r="L98" s="19"/>
      <x:c r="M98" s="19"/>
      <x:c r="N98" s="16"/>
      <x:c r="O98" s="16"/>
      <x:c r="P98" s="16"/>
      <x:c r="Q98" s="32" t="str">
        <x:f>IF(A98="","",IF(ISNUMBER(H98),IF(COUNT(I98,L98,M98)=COUNTA(I98,L98,M98),ROUND(H98-SUM(I98)+SUM(L98)+SUM(M98),2),"Review amounts"),IF(ISBLANK(H98),"","Review amounts")))</x:f>
      </x:c>
      <x:c r="R98" s="32" t="str">
        <x:f>IF(ISNUMBER(Q98),IF(OR(ISBLANK(K98),ISNUMBER(K98)),ROUND(Q98-SUM(K98),2),"Review amounts"),Q98)</x:f>
      </x:c>
      <x:c r="S98" s="32" t="str">
        <x:f>IF(ISNUMBER(R98),IF(COUNTIFS(Allocations!$C$7:$C$206,A98,Allocations!$F$7:$F$206,"Review allocation")&gt;0,"Review allocation",SUMIF(Allocations!$C$7:$C$206,A98,Allocations!$F$7:$F$206)),R98)</x:f>
      </x:c>
      <x:c r="T98" s="32" t="str">
        <x:f>IF(ISNUMBER(R98),IF(ISNUMBER(S98),ROUND(R98-S98,2),S98),R98)</x:f>
      </x:c>
    </x:row>
    <x:row r="99" ht="25" customHeight="1">
      <x:c r="A99" s="16"/>
      <x:c r="B99" s="16"/>
      <x:c r="C99" s="16"/>
      <x:c r="D99" s="16"/>
      <x:c r="E99" s="16"/>
      <x:c r="F99" s="17"/>
      <x:c r="G99" s="18"/>
      <x:c r="H99" s="19"/>
      <x:c r="I99" s="19"/>
      <x:c r="J99" s="16"/>
      <x:c r="K99" s="19"/>
      <x:c r="L99" s="19"/>
      <x:c r="M99" s="19"/>
      <x:c r="N99" s="16"/>
      <x:c r="O99" s="16"/>
      <x:c r="P99" s="16"/>
      <x:c r="Q99" s="32" t="str">
        <x:f>IF(A99="","",IF(ISNUMBER(H99),IF(COUNT(I99,L99,M99)=COUNTA(I99,L99,M99),ROUND(H99-SUM(I99)+SUM(L99)+SUM(M99),2),"Review amounts"),IF(ISBLANK(H99),"","Review amounts")))</x:f>
      </x:c>
      <x:c r="R99" s="32" t="str">
        <x:f>IF(ISNUMBER(Q99),IF(OR(ISBLANK(K99),ISNUMBER(K99)),ROUND(Q99-SUM(K99),2),"Review amounts"),Q99)</x:f>
      </x:c>
      <x:c r="S99" s="32" t="str">
        <x:f>IF(ISNUMBER(R99),IF(COUNTIFS(Allocations!$C$7:$C$206,A99,Allocations!$F$7:$F$206,"Review allocation")&gt;0,"Review allocation",SUMIF(Allocations!$C$7:$C$206,A99,Allocations!$F$7:$F$206)),R99)</x:f>
      </x:c>
      <x:c r="T99" s="32" t="str">
        <x:f>IF(ISNUMBER(R99),IF(ISNUMBER(S99),ROUND(R99-S99,2),S99),R99)</x:f>
      </x:c>
    </x:row>
    <x:row r="100" ht="25" customHeight="1">
      <x:c r="A100" s="16"/>
      <x:c r="B100" s="16"/>
      <x:c r="C100" s="16"/>
      <x:c r="D100" s="16"/>
      <x:c r="E100" s="16"/>
      <x:c r="F100" s="17"/>
      <x:c r="G100" s="18"/>
      <x:c r="H100" s="19"/>
      <x:c r="I100" s="19"/>
      <x:c r="J100" s="16"/>
      <x:c r="K100" s="19"/>
      <x:c r="L100" s="19"/>
      <x:c r="M100" s="19"/>
      <x:c r="N100" s="16"/>
      <x:c r="O100" s="16"/>
      <x:c r="P100" s="16"/>
      <x:c r="Q100" s="32" t="str">
        <x:f>IF(A100="","",IF(ISNUMBER(H100),IF(COUNT(I100,L100,M100)=COUNTA(I100,L100,M100),ROUND(H100-SUM(I100)+SUM(L100)+SUM(M100),2),"Review amounts"),IF(ISBLANK(H100),"","Review amounts")))</x:f>
      </x:c>
      <x:c r="R100" s="32" t="str">
        <x:f>IF(ISNUMBER(Q100),IF(OR(ISBLANK(K100),ISNUMBER(K100)),ROUND(Q100-SUM(K100),2),"Review amounts"),Q100)</x:f>
      </x:c>
      <x:c r="S100" s="32" t="str">
        <x:f>IF(ISNUMBER(R100),IF(COUNTIFS(Allocations!$C$7:$C$206,A100,Allocations!$F$7:$F$206,"Review allocation")&gt;0,"Review allocation",SUMIF(Allocations!$C$7:$C$206,A100,Allocations!$F$7:$F$206)),R100)</x:f>
      </x:c>
      <x:c r="T100" s="32" t="str">
        <x:f>IF(ISNUMBER(R100),IF(ISNUMBER(S100),ROUND(R100-S100,2),S100),R100)</x:f>
      </x:c>
    </x:row>
    <x:row r="101" ht="25" customHeight="1">
      <x:c r="A101" s="16"/>
      <x:c r="B101" s="16"/>
      <x:c r="C101" s="16"/>
      <x:c r="D101" s="16"/>
      <x:c r="E101" s="16"/>
      <x:c r="F101" s="17"/>
      <x:c r="G101" s="18"/>
      <x:c r="H101" s="19"/>
      <x:c r="I101" s="19"/>
      <x:c r="J101" s="16"/>
      <x:c r="K101" s="19"/>
      <x:c r="L101" s="19"/>
      <x:c r="M101" s="19"/>
      <x:c r="N101" s="16"/>
      <x:c r="O101" s="16"/>
      <x:c r="P101" s="16"/>
      <x:c r="Q101" s="32" t="str">
        <x:f>IF(A101="","",IF(ISNUMBER(H101),IF(COUNT(I101,L101,M101)=COUNTA(I101,L101,M101),ROUND(H101-SUM(I101)+SUM(L101)+SUM(M101),2),"Review amounts"),IF(ISBLANK(H101),"","Review amounts")))</x:f>
      </x:c>
      <x:c r="R101" s="32" t="str">
        <x:f>IF(ISNUMBER(Q101),IF(OR(ISBLANK(K101),ISNUMBER(K101)),ROUND(Q101-SUM(K101),2),"Review amounts"),Q101)</x:f>
      </x:c>
      <x:c r="S101" s="32" t="str">
        <x:f>IF(ISNUMBER(R101),IF(COUNTIFS(Allocations!$C$7:$C$206,A101,Allocations!$F$7:$F$206,"Review allocation")&gt;0,"Review allocation",SUMIF(Allocations!$C$7:$C$206,A101,Allocations!$F$7:$F$206)),R101)</x:f>
      </x:c>
      <x:c r="T101" s="32" t="str">
        <x:f>IF(ISNUMBER(R101),IF(ISNUMBER(S101),ROUND(R101-S101,2),S101),R101)</x:f>
      </x:c>
    </x:row>
    <x:row r="102" ht="25" customHeight="1">
      <x:c r="A102" s="16"/>
      <x:c r="B102" s="16"/>
      <x:c r="C102" s="16"/>
      <x:c r="D102" s="16"/>
      <x:c r="E102" s="16"/>
      <x:c r="F102" s="17"/>
      <x:c r="G102" s="18"/>
      <x:c r="H102" s="19"/>
      <x:c r="I102" s="19"/>
      <x:c r="J102" s="16"/>
      <x:c r="K102" s="19"/>
      <x:c r="L102" s="19"/>
      <x:c r="M102" s="19"/>
      <x:c r="N102" s="16"/>
      <x:c r="O102" s="16"/>
      <x:c r="P102" s="16"/>
      <x:c r="Q102" s="32" t="str">
        <x:f>IF(A102="","",IF(ISNUMBER(H102),IF(COUNT(I102,L102,M102)=COUNTA(I102,L102,M102),ROUND(H102-SUM(I102)+SUM(L102)+SUM(M102),2),"Review amounts"),IF(ISBLANK(H102),"","Review amounts")))</x:f>
      </x:c>
      <x:c r="R102" s="32" t="str">
        <x:f>IF(ISNUMBER(Q102),IF(OR(ISBLANK(K102),ISNUMBER(K102)),ROUND(Q102-SUM(K102),2),"Review amounts"),Q102)</x:f>
      </x:c>
      <x:c r="S102" s="32" t="str">
        <x:f>IF(ISNUMBER(R102),IF(COUNTIFS(Allocations!$C$7:$C$206,A102,Allocations!$F$7:$F$206,"Review allocation")&gt;0,"Review allocation",SUMIF(Allocations!$C$7:$C$206,A102,Allocations!$F$7:$F$206)),R102)</x:f>
      </x:c>
      <x:c r="T102" s="32" t="str">
        <x:f>IF(ISNUMBER(R102),IF(ISNUMBER(S102),ROUND(R102-S102,2),S102),R102)</x:f>
      </x:c>
    </x:row>
    <x:row r="103" ht="25" customHeight="1">
      <x:c r="A103" s="16"/>
      <x:c r="B103" s="16"/>
      <x:c r="C103" s="16"/>
      <x:c r="D103" s="16"/>
      <x:c r="E103" s="16"/>
      <x:c r="F103" s="17"/>
      <x:c r="G103" s="18"/>
      <x:c r="H103" s="19"/>
      <x:c r="I103" s="19"/>
      <x:c r="J103" s="16"/>
      <x:c r="K103" s="19"/>
      <x:c r="L103" s="19"/>
      <x:c r="M103" s="19"/>
      <x:c r="N103" s="16"/>
      <x:c r="O103" s="16"/>
      <x:c r="P103" s="16"/>
      <x:c r="Q103" s="32" t="str">
        <x:f>IF(A103="","",IF(ISNUMBER(H103),IF(COUNT(I103,L103,M103)=COUNTA(I103,L103,M103),ROUND(H103-SUM(I103)+SUM(L103)+SUM(M103),2),"Review amounts"),IF(ISBLANK(H103),"","Review amounts")))</x:f>
      </x:c>
      <x:c r="R103" s="32" t="str">
        <x:f>IF(ISNUMBER(Q103),IF(OR(ISBLANK(K103),ISNUMBER(K103)),ROUND(Q103-SUM(K103),2),"Review amounts"),Q103)</x:f>
      </x:c>
      <x:c r="S103" s="32" t="str">
        <x:f>IF(ISNUMBER(R103),IF(COUNTIFS(Allocations!$C$7:$C$206,A103,Allocations!$F$7:$F$206,"Review allocation")&gt;0,"Review allocation",SUMIF(Allocations!$C$7:$C$206,A103,Allocations!$F$7:$F$206)),R103)</x:f>
      </x:c>
      <x:c r="T103" s="32" t="str">
        <x:f>IF(ISNUMBER(R103),IF(ISNUMBER(S103),ROUND(R103-S103,2),S103),R103)</x:f>
      </x:c>
    </x:row>
    <x:row r="104" ht="25" customHeight="1">
      <x:c r="A104" s="16"/>
      <x:c r="B104" s="16"/>
      <x:c r="C104" s="16"/>
      <x:c r="D104" s="16"/>
      <x:c r="E104" s="16"/>
      <x:c r="F104" s="17"/>
      <x:c r="G104" s="18"/>
      <x:c r="H104" s="19"/>
      <x:c r="I104" s="19"/>
      <x:c r="J104" s="16"/>
      <x:c r="K104" s="19"/>
      <x:c r="L104" s="19"/>
      <x:c r="M104" s="19"/>
      <x:c r="N104" s="16"/>
      <x:c r="O104" s="16"/>
      <x:c r="P104" s="16"/>
      <x:c r="Q104" s="32" t="str">
        <x:f>IF(A104="","",IF(ISNUMBER(H104),IF(COUNT(I104,L104,M104)=COUNTA(I104,L104,M104),ROUND(H104-SUM(I104)+SUM(L104)+SUM(M104),2),"Review amounts"),IF(ISBLANK(H104),"","Review amounts")))</x:f>
      </x:c>
      <x:c r="R104" s="32" t="str">
        <x:f>IF(ISNUMBER(Q104),IF(OR(ISBLANK(K104),ISNUMBER(K104)),ROUND(Q104-SUM(K104),2),"Review amounts"),Q104)</x:f>
      </x:c>
      <x:c r="S104" s="32" t="str">
        <x:f>IF(ISNUMBER(R104),IF(COUNTIFS(Allocations!$C$7:$C$206,A104,Allocations!$F$7:$F$206,"Review allocation")&gt;0,"Review allocation",SUMIF(Allocations!$C$7:$C$206,A104,Allocations!$F$7:$F$206)),R104)</x:f>
      </x:c>
      <x:c r="T104" s="32" t="str">
        <x:f>IF(ISNUMBER(R104),IF(ISNUMBER(S104),ROUND(R104-S104,2),S104),R104)</x:f>
      </x:c>
    </x:row>
    <x:row r="105" ht="25" customHeight="1">
      <x:c r="A105" s="16"/>
      <x:c r="B105" s="16"/>
      <x:c r="C105" s="16"/>
      <x:c r="D105" s="16"/>
      <x:c r="E105" s="16"/>
      <x:c r="F105" s="17"/>
      <x:c r="G105" s="18"/>
      <x:c r="H105" s="19"/>
      <x:c r="I105" s="19"/>
      <x:c r="J105" s="16"/>
      <x:c r="K105" s="19"/>
      <x:c r="L105" s="19"/>
      <x:c r="M105" s="19"/>
      <x:c r="N105" s="16"/>
      <x:c r="O105" s="16"/>
      <x:c r="P105" s="16"/>
      <x:c r="Q105" s="32" t="str">
        <x:f>IF(A105="","",IF(ISNUMBER(H105),IF(COUNT(I105,L105,M105)=COUNTA(I105,L105,M105),ROUND(H105-SUM(I105)+SUM(L105)+SUM(M105),2),"Review amounts"),IF(ISBLANK(H105),"","Review amounts")))</x:f>
      </x:c>
      <x:c r="R105" s="32" t="str">
        <x:f>IF(ISNUMBER(Q105),IF(OR(ISBLANK(K105),ISNUMBER(K105)),ROUND(Q105-SUM(K105),2),"Review amounts"),Q105)</x:f>
      </x:c>
      <x:c r="S105" s="32" t="str">
        <x:f>IF(ISNUMBER(R105),IF(COUNTIFS(Allocations!$C$7:$C$206,A105,Allocations!$F$7:$F$206,"Review allocation")&gt;0,"Review allocation",SUMIF(Allocations!$C$7:$C$206,A105,Allocations!$F$7:$F$206)),R105)</x:f>
      </x:c>
      <x:c r="T105" s="32" t="str">
        <x:f>IF(ISNUMBER(R105),IF(ISNUMBER(S105),ROUND(R105-S105,2),S105),R105)</x:f>
      </x:c>
    </x:row>
    <x:row r="106" ht="25" customHeight="1">
      <x:c r="A106" s="16"/>
      <x:c r="B106" s="16"/>
      <x:c r="C106" s="16"/>
      <x:c r="D106" s="16"/>
      <x:c r="E106" s="16"/>
      <x:c r="F106" s="17"/>
      <x:c r="G106" s="18"/>
      <x:c r="H106" s="19"/>
      <x:c r="I106" s="19"/>
      <x:c r="J106" s="16"/>
      <x:c r="K106" s="19"/>
      <x:c r="L106" s="19"/>
      <x:c r="M106" s="19"/>
      <x:c r="N106" s="16"/>
      <x:c r="O106" s="16"/>
      <x:c r="P106" s="16"/>
      <x:c r="Q106" s="32" t="str">
        <x:f>IF(A106="","",IF(ISNUMBER(H106),IF(COUNT(I106,L106,M106)=COUNTA(I106,L106,M106),ROUND(H106-SUM(I106)+SUM(L106)+SUM(M106),2),"Review amounts"),IF(ISBLANK(H106),"","Review amounts")))</x:f>
      </x:c>
      <x:c r="R106" s="32" t="str">
        <x:f>IF(ISNUMBER(Q106),IF(OR(ISBLANK(K106),ISNUMBER(K106)),ROUND(Q106-SUM(K106),2),"Review amounts"),Q106)</x:f>
      </x:c>
      <x:c r="S106" s="32" t="str">
        <x:f>IF(ISNUMBER(R106),IF(COUNTIFS(Allocations!$C$7:$C$206,A106,Allocations!$F$7:$F$206,"Review allocation")&gt;0,"Review allocation",SUMIF(Allocations!$C$7:$C$206,A106,Allocations!$F$7:$F$206)),R106)</x:f>
      </x:c>
      <x:c r="T106" s="32" t="str">
        <x:f>IF(ISNUMBER(R106),IF(ISNUMBER(S106),ROUND(R106-S106,2),S106),R106)</x:f>
      </x:c>
    </x:row>
    <x:row r="107" ht="25" customHeight="1">
      <x:c r="A107" s="16"/>
      <x:c r="B107" s="16"/>
      <x:c r="C107" s="16"/>
      <x:c r="D107" s="16"/>
      <x:c r="E107" s="16"/>
      <x:c r="F107" s="17"/>
      <x:c r="G107" s="18"/>
      <x:c r="H107" s="19"/>
      <x:c r="I107" s="19"/>
      <x:c r="J107" s="16"/>
      <x:c r="K107" s="19"/>
      <x:c r="L107" s="19"/>
      <x:c r="M107" s="19"/>
      <x:c r="N107" s="16"/>
      <x:c r="O107" s="16"/>
      <x:c r="P107" s="16"/>
      <x:c r="Q107" s="32" t="str">
        <x:f>IF(A107="","",IF(ISNUMBER(H107),IF(COUNT(I107,L107,M107)=COUNTA(I107,L107,M107),ROUND(H107-SUM(I107)+SUM(L107)+SUM(M107),2),"Review amounts"),IF(ISBLANK(H107),"","Review amounts")))</x:f>
      </x:c>
      <x:c r="R107" s="32" t="str">
        <x:f>IF(ISNUMBER(Q107),IF(OR(ISBLANK(K107),ISNUMBER(K107)),ROUND(Q107-SUM(K107),2),"Review amounts"),Q107)</x:f>
      </x:c>
      <x:c r="S107" s="32" t="str">
        <x:f>IF(ISNUMBER(R107),IF(COUNTIFS(Allocations!$C$7:$C$206,A107,Allocations!$F$7:$F$206,"Review allocation")&gt;0,"Review allocation",SUMIF(Allocations!$C$7:$C$206,A107,Allocations!$F$7:$F$206)),R107)</x:f>
      </x:c>
      <x:c r="T107" s="32" t="str">
        <x:f>IF(ISNUMBER(R107),IF(ISNUMBER(S107),ROUND(R107-S107,2),S107),R107)</x:f>
      </x:c>
    </x:row>
    <x:row r="108" ht="25" customHeight="1">
      <x:c r="A108" s="16"/>
      <x:c r="B108" s="16"/>
      <x:c r="C108" s="16"/>
      <x:c r="D108" s="16"/>
      <x:c r="E108" s="16"/>
      <x:c r="F108" s="17"/>
      <x:c r="G108" s="18"/>
      <x:c r="H108" s="19"/>
      <x:c r="I108" s="19"/>
      <x:c r="J108" s="16"/>
      <x:c r="K108" s="19"/>
      <x:c r="L108" s="19"/>
      <x:c r="M108" s="19"/>
      <x:c r="N108" s="16"/>
      <x:c r="O108" s="16"/>
      <x:c r="P108" s="16"/>
      <x:c r="Q108" s="32" t="str">
        <x:f>IF(A108="","",IF(ISNUMBER(H108),IF(COUNT(I108,L108,M108)=COUNTA(I108,L108,M108),ROUND(H108-SUM(I108)+SUM(L108)+SUM(M108),2),"Review amounts"),IF(ISBLANK(H108),"","Review amounts")))</x:f>
      </x:c>
      <x:c r="R108" s="32" t="str">
        <x:f>IF(ISNUMBER(Q108),IF(OR(ISBLANK(K108),ISNUMBER(K108)),ROUND(Q108-SUM(K108),2),"Review amounts"),Q108)</x:f>
      </x:c>
      <x:c r="S108" s="32" t="str">
        <x:f>IF(ISNUMBER(R108),IF(COUNTIFS(Allocations!$C$7:$C$206,A108,Allocations!$F$7:$F$206,"Review allocation")&gt;0,"Review allocation",SUMIF(Allocations!$C$7:$C$206,A108,Allocations!$F$7:$F$206)),R108)</x:f>
      </x:c>
      <x:c r="T108" s="32" t="str">
        <x:f>IF(ISNUMBER(R108),IF(ISNUMBER(S108),ROUND(R108-S108,2),S108),R108)</x:f>
      </x:c>
    </x:row>
    <x:row r="109" ht="25" customHeight="1">
      <x:c r="A109" s="16"/>
      <x:c r="B109" s="16"/>
      <x:c r="C109" s="16"/>
      <x:c r="D109" s="16"/>
      <x:c r="E109" s="16"/>
      <x:c r="F109" s="17"/>
      <x:c r="G109" s="18"/>
      <x:c r="H109" s="19"/>
      <x:c r="I109" s="19"/>
      <x:c r="J109" s="16"/>
      <x:c r="K109" s="19"/>
      <x:c r="L109" s="19"/>
      <x:c r="M109" s="19"/>
      <x:c r="N109" s="16"/>
      <x:c r="O109" s="16"/>
      <x:c r="P109" s="16"/>
      <x:c r="Q109" s="32" t="str">
        <x:f>IF(A109="","",IF(ISNUMBER(H109),IF(COUNT(I109,L109,M109)=COUNTA(I109,L109,M109),ROUND(H109-SUM(I109)+SUM(L109)+SUM(M109),2),"Review amounts"),IF(ISBLANK(H109),"","Review amounts")))</x:f>
      </x:c>
      <x:c r="R109" s="32" t="str">
        <x:f>IF(ISNUMBER(Q109),IF(OR(ISBLANK(K109),ISNUMBER(K109)),ROUND(Q109-SUM(K109),2),"Review amounts"),Q109)</x:f>
      </x:c>
      <x:c r="S109" s="32" t="str">
        <x:f>IF(ISNUMBER(R109),IF(COUNTIFS(Allocations!$C$7:$C$206,A109,Allocations!$F$7:$F$206,"Review allocation")&gt;0,"Review allocation",SUMIF(Allocations!$C$7:$C$206,A109,Allocations!$F$7:$F$206)),R109)</x:f>
      </x:c>
      <x:c r="T109" s="32" t="str">
        <x:f>IF(ISNUMBER(R109),IF(ISNUMBER(S109),ROUND(R109-S109,2),S109),R109)</x:f>
      </x:c>
    </x:row>
    <x:row r="110" ht="25" customHeight="1">
      <x:c r="A110" s="16"/>
      <x:c r="B110" s="16"/>
      <x:c r="C110" s="16"/>
      <x:c r="D110" s="16"/>
      <x:c r="E110" s="16"/>
      <x:c r="F110" s="17"/>
      <x:c r="G110" s="18"/>
      <x:c r="H110" s="19"/>
      <x:c r="I110" s="19"/>
      <x:c r="J110" s="16"/>
      <x:c r="K110" s="19"/>
      <x:c r="L110" s="19"/>
      <x:c r="M110" s="19"/>
      <x:c r="N110" s="16"/>
      <x:c r="O110" s="16"/>
      <x:c r="P110" s="16"/>
      <x:c r="Q110" s="32" t="str">
        <x:f>IF(A110="","",IF(ISNUMBER(H110),IF(COUNT(I110,L110,M110)=COUNTA(I110,L110,M110),ROUND(H110-SUM(I110)+SUM(L110)+SUM(M110),2),"Review amounts"),IF(ISBLANK(H110),"","Review amounts")))</x:f>
      </x:c>
      <x:c r="R110" s="32" t="str">
        <x:f>IF(ISNUMBER(Q110),IF(OR(ISBLANK(K110),ISNUMBER(K110)),ROUND(Q110-SUM(K110),2),"Review amounts"),Q110)</x:f>
      </x:c>
      <x:c r="S110" s="32" t="str">
        <x:f>IF(ISNUMBER(R110),IF(COUNTIFS(Allocations!$C$7:$C$206,A110,Allocations!$F$7:$F$206,"Review allocation")&gt;0,"Review allocation",SUMIF(Allocations!$C$7:$C$206,A110,Allocations!$F$7:$F$206)),R110)</x:f>
      </x:c>
      <x:c r="T110" s="32" t="str">
        <x:f>IF(ISNUMBER(R110),IF(ISNUMBER(S110),ROUND(R110-S110,2),S110),R110)</x:f>
      </x:c>
    </x:row>
    <x:row r="111" ht="25" customHeight="1">
      <x:c r="A111" s="16"/>
      <x:c r="B111" s="16"/>
      <x:c r="C111" s="16"/>
      <x:c r="D111" s="16"/>
      <x:c r="E111" s="16"/>
      <x:c r="F111" s="17"/>
      <x:c r="G111" s="18"/>
      <x:c r="H111" s="19"/>
      <x:c r="I111" s="19"/>
      <x:c r="J111" s="16"/>
      <x:c r="K111" s="19"/>
      <x:c r="L111" s="19"/>
      <x:c r="M111" s="19"/>
      <x:c r="N111" s="16"/>
      <x:c r="O111" s="16"/>
      <x:c r="P111" s="16"/>
      <x:c r="Q111" s="32" t="str">
        <x:f>IF(A111="","",IF(ISNUMBER(H111),IF(COUNT(I111,L111,M111)=COUNTA(I111,L111,M111),ROUND(H111-SUM(I111)+SUM(L111)+SUM(M111),2),"Review amounts"),IF(ISBLANK(H111),"","Review amounts")))</x:f>
      </x:c>
      <x:c r="R111" s="32" t="str">
        <x:f>IF(ISNUMBER(Q111),IF(OR(ISBLANK(K111),ISNUMBER(K111)),ROUND(Q111-SUM(K111),2),"Review amounts"),Q111)</x:f>
      </x:c>
      <x:c r="S111" s="32" t="str">
        <x:f>IF(ISNUMBER(R111),IF(COUNTIFS(Allocations!$C$7:$C$206,A111,Allocations!$F$7:$F$206,"Review allocation")&gt;0,"Review allocation",SUMIF(Allocations!$C$7:$C$206,A111,Allocations!$F$7:$F$206)),R111)</x:f>
      </x:c>
      <x:c r="T111" s="32" t="str">
        <x:f>IF(ISNUMBER(R111),IF(ISNUMBER(S111),ROUND(R111-S111,2),S111),R111)</x:f>
      </x:c>
    </x:row>
    <x:row r="112" ht="25" customHeight="1">
      <x:c r="A112" s="16"/>
      <x:c r="B112" s="16"/>
      <x:c r="C112" s="16"/>
      <x:c r="D112" s="16"/>
      <x:c r="E112" s="16"/>
      <x:c r="F112" s="17"/>
      <x:c r="G112" s="18"/>
      <x:c r="H112" s="19"/>
      <x:c r="I112" s="19"/>
      <x:c r="J112" s="16"/>
      <x:c r="K112" s="19"/>
      <x:c r="L112" s="19"/>
      <x:c r="M112" s="19"/>
      <x:c r="N112" s="16"/>
      <x:c r="O112" s="16"/>
      <x:c r="P112" s="16"/>
      <x:c r="Q112" s="32" t="str">
        <x:f>IF(A112="","",IF(ISNUMBER(H112),IF(COUNT(I112,L112,M112)=COUNTA(I112,L112,M112),ROUND(H112-SUM(I112)+SUM(L112)+SUM(M112),2),"Review amounts"),IF(ISBLANK(H112),"","Review amounts")))</x:f>
      </x:c>
      <x:c r="R112" s="32" t="str">
        <x:f>IF(ISNUMBER(Q112),IF(OR(ISBLANK(K112),ISNUMBER(K112)),ROUND(Q112-SUM(K112),2),"Review amounts"),Q112)</x:f>
      </x:c>
      <x:c r="S112" s="32" t="str">
        <x:f>IF(ISNUMBER(R112),IF(COUNTIFS(Allocations!$C$7:$C$206,A112,Allocations!$F$7:$F$206,"Review allocation")&gt;0,"Review allocation",SUMIF(Allocations!$C$7:$C$206,A112,Allocations!$F$7:$F$206)),R112)</x:f>
      </x:c>
      <x:c r="T112" s="32" t="str">
        <x:f>IF(ISNUMBER(R112),IF(ISNUMBER(S112),ROUND(R112-S112,2),S112),R112)</x:f>
      </x:c>
    </x:row>
    <x:row r="113" ht="25" customHeight="1">
      <x:c r="A113" s="16"/>
      <x:c r="B113" s="16"/>
      <x:c r="C113" s="16"/>
      <x:c r="D113" s="16"/>
      <x:c r="E113" s="16"/>
      <x:c r="F113" s="17"/>
      <x:c r="G113" s="18"/>
      <x:c r="H113" s="19"/>
      <x:c r="I113" s="19"/>
      <x:c r="J113" s="16"/>
      <x:c r="K113" s="19"/>
      <x:c r="L113" s="19"/>
      <x:c r="M113" s="19"/>
      <x:c r="N113" s="16"/>
      <x:c r="O113" s="16"/>
      <x:c r="P113" s="16"/>
      <x:c r="Q113" s="32" t="str">
        <x:f>IF(A113="","",IF(ISNUMBER(H113),IF(COUNT(I113,L113,M113)=COUNTA(I113,L113,M113),ROUND(H113-SUM(I113)+SUM(L113)+SUM(M113),2),"Review amounts"),IF(ISBLANK(H113),"","Review amounts")))</x:f>
      </x:c>
      <x:c r="R113" s="32" t="str">
        <x:f>IF(ISNUMBER(Q113),IF(OR(ISBLANK(K113),ISNUMBER(K113)),ROUND(Q113-SUM(K113),2),"Review amounts"),Q113)</x:f>
      </x:c>
      <x:c r="S113" s="32" t="str">
        <x:f>IF(ISNUMBER(R113),IF(COUNTIFS(Allocations!$C$7:$C$206,A113,Allocations!$F$7:$F$206,"Review allocation")&gt;0,"Review allocation",SUMIF(Allocations!$C$7:$C$206,A113,Allocations!$F$7:$F$206)),R113)</x:f>
      </x:c>
      <x:c r="T113" s="32" t="str">
        <x:f>IF(ISNUMBER(R113),IF(ISNUMBER(S113),ROUND(R113-S113,2),S113),R113)</x:f>
      </x:c>
    </x:row>
    <x:row r="114" ht="25" customHeight="1">
      <x:c r="A114" s="16"/>
      <x:c r="B114" s="16"/>
      <x:c r="C114" s="16"/>
      <x:c r="D114" s="16"/>
      <x:c r="E114" s="16"/>
      <x:c r="F114" s="17"/>
      <x:c r="G114" s="18"/>
      <x:c r="H114" s="19"/>
      <x:c r="I114" s="19"/>
      <x:c r="J114" s="16"/>
      <x:c r="K114" s="19"/>
      <x:c r="L114" s="19"/>
      <x:c r="M114" s="19"/>
      <x:c r="N114" s="16"/>
      <x:c r="O114" s="16"/>
      <x:c r="P114" s="16"/>
      <x:c r="Q114" s="32" t="str">
        <x:f>IF(A114="","",IF(ISNUMBER(H114),IF(COUNT(I114,L114,M114)=COUNTA(I114,L114,M114),ROUND(H114-SUM(I114)+SUM(L114)+SUM(M114),2),"Review amounts"),IF(ISBLANK(H114),"","Review amounts")))</x:f>
      </x:c>
      <x:c r="R114" s="32" t="str">
        <x:f>IF(ISNUMBER(Q114),IF(OR(ISBLANK(K114),ISNUMBER(K114)),ROUND(Q114-SUM(K114),2),"Review amounts"),Q114)</x:f>
      </x:c>
      <x:c r="S114" s="32" t="str">
        <x:f>IF(ISNUMBER(R114),IF(COUNTIFS(Allocations!$C$7:$C$206,A114,Allocations!$F$7:$F$206,"Review allocation")&gt;0,"Review allocation",SUMIF(Allocations!$C$7:$C$206,A114,Allocations!$F$7:$F$206)),R114)</x:f>
      </x:c>
      <x:c r="T114" s="32" t="str">
        <x:f>IF(ISNUMBER(R114),IF(ISNUMBER(S114),ROUND(R114-S114,2),S114),R114)</x:f>
      </x:c>
    </x:row>
    <x:row r="115" ht="25" customHeight="1">
      <x:c r="A115" s="16"/>
      <x:c r="B115" s="16"/>
      <x:c r="C115" s="16"/>
      <x:c r="D115" s="16"/>
      <x:c r="E115" s="16"/>
      <x:c r="F115" s="17"/>
      <x:c r="G115" s="18"/>
      <x:c r="H115" s="19"/>
      <x:c r="I115" s="19"/>
      <x:c r="J115" s="16"/>
      <x:c r="K115" s="19"/>
      <x:c r="L115" s="19"/>
      <x:c r="M115" s="19"/>
      <x:c r="N115" s="16"/>
      <x:c r="O115" s="16"/>
      <x:c r="P115" s="16"/>
      <x:c r="Q115" s="32" t="str">
        <x:f>IF(A115="","",IF(ISNUMBER(H115),IF(COUNT(I115,L115,M115)=COUNTA(I115,L115,M115),ROUND(H115-SUM(I115)+SUM(L115)+SUM(M115),2),"Review amounts"),IF(ISBLANK(H115),"","Review amounts")))</x:f>
      </x:c>
      <x:c r="R115" s="32" t="str">
        <x:f>IF(ISNUMBER(Q115),IF(OR(ISBLANK(K115),ISNUMBER(K115)),ROUND(Q115-SUM(K115),2),"Review amounts"),Q115)</x:f>
      </x:c>
      <x:c r="S115" s="32" t="str">
        <x:f>IF(ISNUMBER(R115),IF(COUNTIFS(Allocations!$C$7:$C$206,A115,Allocations!$F$7:$F$206,"Review allocation")&gt;0,"Review allocation",SUMIF(Allocations!$C$7:$C$206,A115,Allocations!$F$7:$F$206)),R115)</x:f>
      </x:c>
      <x:c r="T115" s="32" t="str">
        <x:f>IF(ISNUMBER(R115),IF(ISNUMBER(S115),ROUND(R115-S115,2),S115),R115)</x:f>
      </x:c>
    </x:row>
    <x:row r="116" ht="25" customHeight="1">
      <x:c r="A116" s="16"/>
      <x:c r="B116" s="16"/>
      <x:c r="C116" s="16"/>
      <x:c r="D116" s="16"/>
      <x:c r="E116" s="16"/>
      <x:c r="F116" s="17"/>
      <x:c r="G116" s="18"/>
      <x:c r="H116" s="19"/>
      <x:c r="I116" s="19"/>
      <x:c r="J116" s="16"/>
      <x:c r="K116" s="19"/>
      <x:c r="L116" s="19"/>
      <x:c r="M116" s="19"/>
      <x:c r="N116" s="16"/>
      <x:c r="O116" s="16"/>
      <x:c r="P116" s="16"/>
      <x:c r="Q116" s="32" t="str">
        <x:f>IF(A116="","",IF(ISNUMBER(H116),IF(COUNT(I116,L116,M116)=COUNTA(I116,L116,M116),ROUND(H116-SUM(I116)+SUM(L116)+SUM(M116),2),"Review amounts"),IF(ISBLANK(H116),"","Review amounts")))</x:f>
      </x:c>
      <x:c r="R116" s="32" t="str">
        <x:f>IF(ISNUMBER(Q116),IF(OR(ISBLANK(K116),ISNUMBER(K116)),ROUND(Q116-SUM(K116),2),"Review amounts"),Q116)</x:f>
      </x:c>
      <x:c r="S116" s="32" t="str">
        <x:f>IF(ISNUMBER(R116),IF(COUNTIFS(Allocations!$C$7:$C$206,A116,Allocations!$F$7:$F$206,"Review allocation")&gt;0,"Review allocation",SUMIF(Allocations!$C$7:$C$206,A116,Allocations!$F$7:$F$206)),R116)</x:f>
      </x:c>
      <x:c r="T116" s="32" t="str">
        <x:f>IF(ISNUMBER(R116),IF(ISNUMBER(S116),ROUND(R116-S116,2),S116),R116)</x:f>
      </x:c>
    </x:row>
    <x:row r="117" ht="25" customHeight="1">
      <x:c r="A117" s="16"/>
      <x:c r="B117" s="16"/>
      <x:c r="C117" s="16"/>
      <x:c r="D117" s="16"/>
      <x:c r="E117" s="16"/>
      <x:c r="F117" s="17"/>
      <x:c r="G117" s="18"/>
      <x:c r="H117" s="19"/>
      <x:c r="I117" s="19"/>
      <x:c r="J117" s="16"/>
      <x:c r="K117" s="19"/>
      <x:c r="L117" s="19"/>
      <x:c r="M117" s="19"/>
      <x:c r="N117" s="16"/>
      <x:c r="O117" s="16"/>
      <x:c r="P117" s="16"/>
      <x:c r="Q117" s="32" t="str">
        <x:f>IF(A117="","",IF(ISNUMBER(H117),IF(COUNT(I117,L117,M117)=COUNTA(I117,L117,M117),ROUND(H117-SUM(I117)+SUM(L117)+SUM(M117),2),"Review amounts"),IF(ISBLANK(H117),"","Review amounts")))</x:f>
      </x:c>
      <x:c r="R117" s="32" t="str">
        <x:f>IF(ISNUMBER(Q117),IF(OR(ISBLANK(K117),ISNUMBER(K117)),ROUND(Q117-SUM(K117),2),"Review amounts"),Q117)</x:f>
      </x:c>
      <x:c r="S117" s="32" t="str">
        <x:f>IF(ISNUMBER(R117),IF(COUNTIFS(Allocations!$C$7:$C$206,A117,Allocations!$F$7:$F$206,"Review allocation")&gt;0,"Review allocation",SUMIF(Allocations!$C$7:$C$206,A117,Allocations!$F$7:$F$206)),R117)</x:f>
      </x:c>
      <x:c r="T117" s="32" t="str">
        <x:f>IF(ISNUMBER(R117),IF(ISNUMBER(S117),ROUND(R117-S117,2),S117),R117)</x:f>
      </x:c>
    </x:row>
    <x:row r="118" ht="25" customHeight="1">
      <x:c r="A118" s="16"/>
      <x:c r="B118" s="16"/>
      <x:c r="C118" s="16"/>
      <x:c r="D118" s="16"/>
      <x:c r="E118" s="16"/>
      <x:c r="F118" s="17"/>
      <x:c r="G118" s="18"/>
      <x:c r="H118" s="19"/>
      <x:c r="I118" s="19"/>
      <x:c r="J118" s="16"/>
      <x:c r="K118" s="19"/>
      <x:c r="L118" s="19"/>
      <x:c r="M118" s="19"/>
      <x:c r="N118" s="16"/>
      <x:c r="O118" s="16"/>
      <x:c r="P118" s="16"/>
      <x:c r="Q118" s="32" t="str">
        <x:f>IF(A118="","",IF(ISNUMBER(H118),IF(COUNT(I118,L118,M118)=COUNTA(I118,L118,M118),ROUND(H118-SUM(I118)+SUM(L118)+SUM(M118),2),"Review amounts"),IF(ISBLANK(H118),"","Review amounts")))</x:f>
      </x:c>
      <x:c r="R118" s="32" t="str">
        <x:f>IF(ISNUMBER(Q118),IF(OR(ISBLANK(K118),ISNUMBER(K118)),ROUND(Q118-SUM(K118),2),"Review amounts"),Q118)</x:f>
      </x:c>
      <x:c r="S118" s="32" t="str">
        <x:f>IF(ISNUMBER(R118),IF(COUNTIFS(Allocations!$C$7:$C$206,A118,Allocations!$F$7:$F$206,"Review allocation")&gt;0,"Review allocation",SUMIF(Allocations!$C$7:$C$206,A118,Allocations!$F$7:$F$206)),R118)</x:f>
      </x:c>
      <x:c r="T118" s="32" t="str">
        <x:f>IF(ISNUMBER(R118),IF(ISNUMBER(S118),ROUND(R118-S118,2),S118),R118)</x:f>
      </x:c>
    </x:row>
    <x:row r="119" ht="25" customHeight="1">
      <x:c r="A119" s="16"/>
      <x:c r="B119" s="16"/>
      <x:c r="C119" s="16"/>
      <x:c r="D119" s="16"/>
      <x:c r="E119" s="16"/>
      <x:c r="F119" s="17"/>
      <x:c r="G119" s="18"/>
      <x:c r="H119" s="19"/>
      <x:c r="I119" s="19"/>
      <x:c r="J119" s="16"/>
      <x:c r="K119" s="19"/>
      <x:c r="L119" s="19"/>
      <x:c r="M119" s="19"/>
      <x:c r="N119" s="16"/>
      <x:c r="O119" s="16"/>
      <x:c r="P119" s="16"/>
      <x:c r="Q119" s="32" t="str">
        <x:f>IF(A119="","",IF(ISNUMBER(H119),IF(COUNT(I119,L119,M119)=COUNTA(I119,L119,M119),ROUND(H119-SUM(I119)+SUM(L119)+SUM(M119),2),"Review amounts"),IF(ISBLANK(H119),"","Review amounts")))</x:f>
      </x:c>
      <x:c r="R119" s="32" t="str">
        <x:f>IF(ISNUMBER(Q119),IF(OR(ISBLANK(K119),ISNUMBER(K119)),ROUND(Q119-SUM(K119),2),"Review amounts"),Q119)</x:f>
      </x:c>
      <x:c r="S119" s="32" t="str">
        <x:f>IF(ISNUMBER(R119),IF(COUNTIFS(Allocations!$C$7:$C$206,A119,Allocations!$F$7:$F$206,"Review allocation")&gt;0,"Review allocation",SUMIF(Allocations!$C$7:$C$206,A119,Allocations!$F$7:$F$206)),R119)</x:f>
      </x:c>
      <x:c r="T119" s="32" t="str">
        <x:f>IF(ISNUMBER(R119),IF(ISNUMBER(S119),ROUND(R119-S119,2),S119),R119)</x:f>
      </x:c>
    </x:row>
    <x:row r="120" ht="25" customHeight="1">
      <x:c r="A120" s="16"/>
      <x:c r="B120" s="16"/>
      <x:c r="C120" s="16"/>
      <x:c r="D120" s="16"/>
      <x:c r="E120" s="16"/>
      <x:c r="F120" s="17"/>
      <x:c r="G120" s="18"/>
      <x:c r="H120" s="19"/>
      <x:c r="I120" s="19"/>
      <x:c r="J120" s="16"/>
      <x:c r="K120" s="19"/>
      <x:c r="L120" s="19"/>
      <x:c r="M120" s="19"/>
      <x:c r="N120" s="16"/>
      <x:c r="O120" s="16"/>
      <x:c r="P120" s="16"/>
      <x:c r="Q120" s="32" t="str">
        <x:f>IF(A120="","",IF(ISNUMBER(H120),IF(COUNT(I120,L120,M120)=COUNTA(I120,L120,M120),ROUND(H120-SUM(I120)+SUM(L120)+SUM(M120),2),"Review amounts"),IF(ISBLANK(H120),"","Review amounts")))</x:f>
      </x:c>
      <x:c r="R120" s="32" t="str">
        <x:f>IF(ISNUMBER(Q120),IF(OR(ISBLANK(K120),ISNUMBER(K120)),ROUND(Q120-SUM(K120),2),"Review amounts"),Q120)</x:f>
      </x:c>
      <x:c r="S120" s="32" t="str">
        <x:f>IF(ISNUMBER(R120),IF(COUNTIFS(Allocations!$C$7:$C$206,A120,Allocations!$F$7:$F$206,"Review allocation")&gt;0,"Review allocation",SUMIF(Allocations!$C$7:$C$206,A120,Allocations!$F$7:$F$206)),R120)</x:f>
      </x:c>
      <x:c r="T120" s="32" t="str">
        <x:f>IF(ISNUMBER(R120),IF(ISNUMBER(S120),ROUND(R120-S120,2),S120),R120)</x:f>
      </x:c>
    </x:row>
    <x:row r="121" ht="25" customHeight="1">
      <x:c r="A121" s="16"/>
      <x:c r="B121" s="16"/>
      <x:c r="C121" s="16"/>
      <x:c r="D121" s="16"/>
      <x:c r="E121" s="16"/>
      <x:c r="F121" s="17"/>
      <x:c r="G121" s="18"/>
      <x:c r="H121" s="19"/>
      <x:c r="I121" s="19"/>
      <x:c r="J121" s="16"/>
      <x:c r="K121" s="19"/>
      <x:c r="L121" s="19"/>
      <x:c r="M121" s="19"/>
      <x:c r="N121" s="16"/>
      <x:c r="O121" s="16"/>
      <x:c r="P121" s="16"/>
      <x:c r="Q121" s="32" t="str">
        <x:f>IF(A121="","",IF(ISNUMBER(H121),IF(COUNT(I121,L121,M121)=COUNTA(I121,L121,M121),ROUND(H121-SUM(I121)+SUM(L121)+SUM(M121),2),"Review amounts"),IF(ISBLANK(H121),"","Review amounts")))</x:f>
      </x:c>
      <x:c r="R121" s="32" t="str">
        <x:f>IF(ISNUMBER(Q121),IF(OR(ISBLANK(K121),ISNUMBER(K121)),ROUND(Q121-SUM(K121),2),"Review amounts"),Q121)</x:f>
      </x:c>
      <x:c r="S121" s="32" t="str">
        <x:f>IF(ISNUMBER(R121),IF(COUNTIFS(Allocations!$C$7:$C$206,A121,Allocations!$F$7:$F$206,"Review allocation")&gt;0,"Review allocation",SUMIF(Allocations!$C$7:$C$206,A121,Allocations!$F$7:$F$206)),R121)</x:f>
      </x:c>
      <x:c r="T121" s="32" t="str">
        <x:f>IF(ISNUMBER(R121),IF(ISNUMBER(S121),ROUND(R121-S121,2),S121),R121)</x:f>
      </x:c>
    </x:row>
    <x:row r="122" ht="25" customHeight="1">
      <x:c r="A122" s="16"/>
      <x:c r="B122" s="16"/>
      <x:c r="C122" s="16"/>
      <x:c r="D122" s="16"/>
      <x:c r="E122" s="16"/>
      <x:c r="F122" s="17"/>
      <x:c r="G122" s="18"/>
      <x:c r="H122" s="19"/>
      <x:c r="I122" s="19"/>
      <x:c r="J122" s="16"/>
      <x:c r="K122" s="19"/>
      <x:c r="L122" s="19"/>
      <x:c r="M122" s="19"/>
      <x:c r="N122" s="16"/>
      <x:c r="O122" s="16"/>
      <x:c r="P122" s="16"/>
      <x:c r="Q122" s="32" t="str">
        <x:f>IF(A122="","",IF(ISNUMBER(H122),IF(COUNT(I122,L122,M122)=COUNTA(I122,L122,M122),ROUND(H122-SUM(I122)+SUM(L122)+SUM(M122),2),"Review amounts"),IF(ISBLANK(H122),"","Review amounts")))</x:f>
      </x:c>
      <x:c r="R122" s="32" t="str">
        <x:f>IF(ISNUMBER(Q122),IF(OR(ISBLANK(K122),ISNUMBER(K122)),ROUND(Q122-SUM(K122),2),"Review amounts"),Q122)</x:f>
      </x:c>
      <x:c r="S122" s="32" t="str">
        <x:f>IF(ISNUMBER(R122),IF(COUNTIFS(Allocations!$C$7:$C$206,A122,Allocations!$F$7:$F$206,"Review allocation")&gt;0,"Review allocation",SUMIF(Allocations!$C$7:$C$206,A122,Allocations!$F$7:$F$206)),R122)</x:f>
      </x:c>
      <x:c r="T122" s="32" t="str">
        <x:f>IF(ISNUMBER(R122),IF(ISNUMBER(S122),ROUND(R122-S122,2),S122),R122)</x:f>
      </x:c>
    </x:row>
    <x:row r="123" ht="25" customHeight="1">
      <x:c r="A123" s="16"/>
      <x:c r="B123" s="16"/>
      <x:c r="C123" s="16"/>
      <x:c r="D123" s="16"/>
      <x:c r="E123" s="16"/>
      <x:c r="F123" s="17"/>
      <x:c r="G123" s="18"/>
      <x:c r="H123" s="19"/>
      <x:c r="I123" s="19"/>
      <x:c r="J123" s="16"/>
      <x:c r="K123" s="19"/>
      <x:c r="L123" s="19"/>
      <x:c r="M123" s="19"/>
      <x:c r="N123" s="16"/>
      <x:c r="O123" s="16"/>
      <x:c r="P123" s="16"/>
      <x:c r="Q123" s="32" t="str">
        <x:f>IF(A123="","",IF(ISNUMBER(H123),IF(COUNT(I123,L123,M123)=COUNTA(I123,L123,M123),ROUND(H123-SUM(I123)+SUM(L123)+SUM(M123),2),"Review amounts"),IF(ISBLANK(H123),"","Review amounts")))</x:f>
      </x:c>
      <x:c r="R123" s="32" t="str">
        <x:f>IF(ISNUMBER(Q123),IF(OR(ISBLANK(K123),ISNUMBER(K123)),ROUND(Q123-SUM(K123),2),"Review amounts"),Q123)</x:f>
      </x:c>
      <x:c r="S123" s="32" t="str">
        <x:f>IF(ISNUMBER(R123),IF(COUNTIFS(Allocations!$C$7:$C$206,A123,Allocations!$F$7:$F$206,"Review allocation")&gt;0,"Review allocation",SUMIF(Allocations!$C$7:$C$206,A123,Allocations!$F$7:$F$206)),R123)</x:f>
      </x:c>
      <x:c r="T123" s="32" t="str">
        <x:f>IF(ISNUMBER(R123),IF(ISNUMBER(S123),ROUND(R123-S123,2),S123),R123)</x:f>
      </x:c>
    </x:row>
    <x:row r="124" ht="25" customHeight="1">
      <x:c r="A124" s="16"/>
      <x:c r="B124" s="16"/>
      <x:c r="C124" s="16"/>
      <x:c r="D124" s="16"/>
      <x:c r="E124" s="16"/>
      <x:c r="F124" s="17"/>
      <x:c r="G124" s="18"/>
      <x:c r="H124" s="19"/>
      <x:c r="I124" s="19"/>
      <x:c r="J124" s="16"/>
      <x:c r="K124" s="19"/>
      <x:c r="L124" s="19"/>
      <x:c r="M124" s="19"/>
      <x:c r="N124" s="16"/>
      <x:c r="O124" s="16"/>
      <x:c r="P124" s="16"/>
      <x:c r="Q124" s="32" t="str">
        <x:f>IF(A124="","",IF(ISNUMBER(H124),IF(COUNT(I124,L124,M124)=COUNTA(I124,L124,M124),ROUND(H124-SUM(I124)+SUM(L124)+SUM(M124),2),"Review amounts"),IF(ISBLANK(H124),"","Review amounts")))</x:f>
      </x:c>
      <x:c r="R124" s="32" t="str">
        <x:f>IF(ISNUMBER(Q124),IF(OR(ISBLANK(K124),ISNUMBER(K124)),ROUND(Q124-SUM(K124),2),"Review amounts"),Q124)</x:f>
      </x:c>
      <x:c r="S124" s="32" t="str">
        <x:f>IF(ISNUMBER(R124),IF(COUNTIFS(Allocations!$C$7:$C$206,A124,Allocations!$F$7:$F$206,"Review allocation")&gt;0,"Review allocation",SUMIF(Allocations!$C$7:$C$206,A124,Allocations!$F$7:$F$206)),R124)</x:f>
      </x:c>
      <x:c r="T124" s="32" t="str">
        <x:f>IF(ISNUMBER(R124),IF(ISNUMBER(S124),ROUND(R124-S124,2),S124),R124)</x:f>
      </x:c>
    </x:row>
    <x:row r="125" ht="25" customHeight="1">
      <x:c r="A125" s="16"/>
      <x:c r="B125" s="16"/>
      <x:c r="C125" s="16"/>
      <x:c r="D125" s="16"/>
      <x:c r="E125" s="16"/>
      <x:c r="F125" s="17"/>
      <x:c r="G125" s="18"/>
      <x:c r="H125" s="19"/>
      <x:c r="I125" s="19"/>
      <x:c r="J125" s="16"/>
      <x:c r="K125" s="19"/>
      <x:c r="L125" s="19"/>
      <x:c r="M125" s="19"/>
      <x:c r="N125" s="16"/>
      <x:c r="O125" s="16"/>
      <x:c r="P125" s="16"/>
      <x:c r="Q125" s="32" t="str">
        <x:f>IF(A125="","",IF(ISNUMBER(H125),IF(COUNT(I125,L125,M125)=COUNTA(I125,L125,M125),ROUND(H125-SUM(I125)+SUM(L125)+SUM(M125),2),"Review amounts"),IF(ISBLANK(H125),"","Review amounts")))</x:f>
      </x:c>
      <x:c r="R125" s="32" t="str">
        <x:f>IF(ISNUMBER(Q125),IF(OR(ISBLANK(K125),ISNUMBER(K125)),ROUND(Q125-SUM(K125),2),"Review amounts"),Q125)</x:f>
      </x:c>
      <x:c r="S125" s="32" t="str">
        <x:f>IF(ISNUMBER(R125),IF(COUNTIFS(Allocations!$C$7:$C$206,A125,Allocations!$F$7:$F$206,"Review allocation")&gt;0,"Review allocation",SUMIF(Allocations!$C$7:$C$206,A125,Allocations!$F$7:$F$206)),R125)</x:f>
      </x:c>
      <x:c r="T125" s="32" t="str">
        <x:f>IF(ISNUMBER(R125),IF(ISNUMBER(S125),ROUND(R125-S125,2),S125),R125)</x:f>
      </x:c>
    </x:row>
    <x:row r="126" ht="25" customHeight="1">
      <x:c r="A126" s="16"/>
      <x:c r="B126" s="16"/>
      <x:c r="C126" s="16"/>
      <x:c r="D126" s="16"/>
      <x:c r="E126" s="16"/>
      <x:c r="F126" s="17"/>
      <x:c r="G126" s="18"/>
      <x:c r="H126" s="19"/>
      <x:c r="I126" s="19"/>
      <x:c r="J126" s="16"/>
      <x:c r="K126" s="19"/>
      <x:c r="L126" s="19"/>
      <x:c r="M126" s="19"/>
      <x:c r="N126" s="16"/>
      <x:c r="O126" s="16"/>
      <x:c r="P126" s="16"/>
      <x:c r="Q126" s="32" t="str">
        <x:f>IF(A126="","",IF(ISNUMBER(H126),IF(COUNT(I126,L126,M126)=COUNTA(I126,L126,M126),ROUND(H126-SUM(I126)+SUM(L126)+SUM(M126),2),"Review amounts"),IF(ISBLANK(H126),"","Review amounts")))</x:f>
      </x:c>
      <x:c r="R126" s="32" t="str">
        <x:f>IF(ISNUMBER(Q126),IF(OR(ISBLANK(K126),ISNUMBER(K126)),ROUND(Q126-SUM(K126),2),"Review amounts"),Q126)</x:f>
      </x:c>
      <x:c r="S126" s="32" t="str">
        <x:f>IF(ISNUMBER(R126),IF(COUNTIFS(Allocations!$C$7:$C$206,A126,Allocations!$F$7:$F$206,"Review allocation")&gt;0,"Review allocation",SUMIF(Allocations!$C$7:$C$206,A126,Allocations!$F$7:$F$206)),R126)</x:f>
      </x:c>
      <x:c r="T126" s="32" t="str">
        <x:f>IF(ISNUMBER(R126),IF(ISNUMBER(S126),ROUND(R126-S126,2),S126),R126)</x:f>
      </x:c>
    </x:row>
    <x:row r="127" ht="25" customHeight="1">
      <x:c r="A127" s="16"/>
      <x:c r="B127" s="16"/>
      <x:c r="C127" s="16"/>
      <x:c r="D127" s="16"/>
      <x:c r="E127" s="16"/>
      <x:c r="F127" s="17"/>
      <x:c r="G127" s="18"/>
      <x:c r="H127" s="19"/>
      <x:c r="I127" s="19"/>
      <x:c r="J127" s="16"/>
      <x:c r="K127" s="19"/>
      <x:c r="L127" s="19"/>
      <x:c r="M127" s="19"/>
      <x:c r="N127" s="16"/>
      <x:c r="O127" s="16"/>
      <x:c r="P127" s="16"/>
      <x:c r="Q127" s="32" t="str">
        <x:f>IF(A127="","",IF(ISNUMBER(H127),IF(COUNT(I127,L127,M127)=COUNTA(I127,L127,M127),ROUND(H127-SUM(I127)+SUM(L127)+SUM(M127),2),"Review amounts"),IF(ISBLANK(H127),"","Review amounts")))</x:f>
      </x:c>
      <x:c r="R127" s="32" t="str">
        <x:f>IF(ISNUMBER(Q127),IF(OR(ISBLANK(K127),ISNUMBER(K127)),ROUND(Q127-SUM(K127),2),"Review amounts"),Q127)</x:f>
      </x:c>
      <x:c r="S127" s="32" t="str">
        <x:f>IF(ISNUMBER(R127),IF(COUNTIFS(Allocations!$C$7:$C$206,A127,Allocations!$F$7:$F$206,"Review allocation")&gt;0,"Review allocation",SUMIF(Allocations!$C$7:$C$206,A127,Allocations!$F$7:$F$206)),R127)</x:f>
      </x:c>
      <x:c r="T127" s="32" t="str">
        <x:f>IF(ISNUMBER(R127),IF(ISNUMBER(S127),ROUND(R127-S127,2),S127),R127)</x:f>
      </x:c>
    </x:row>
    <x:row r="128" ht="25" customHeight="1">
      <x:c r="A128" s="16"/>
      <x:c r="B128" s="16"/>
      <x:c r="C128" s="16"/>
      <x:c r="D128" s="16"/>
      <x:c r="E128" s="16"/>
      <x:c r="F128" s="17"/>
      <x:c r="G128" s="18"/>
      <x:c r="H128" s="19"/>
      <x:c r="I128" s="19"/>
      <x:c r="J128" s="16"/>
      <x:c r="K128" s="19"/>
      <x:c r="L128" s="19"/>
      <x:c r="M128" s="19"/>
      <x:c r="N128" s="16"/>
      <x:c r="O128" s="16"/>
      <x:c r="P128" s="16"/>
      <x:c r="Q128" s="32" t="str">
        <x:f>IF(A128="","",IF(ISNUMBER(H128),IF(COUNT(I128,L128,M128)=COUNTA(I128,L128,M128),ROUND(H128-SUM(I128)+SUM(L128)+SUM(M128),2),"Review amounts"),IF(ISBLANK(H128),"","Review amounts")))</x:f>
      </x:c>
      <x:c r="R128" s="32" t="str">
        <x:f>IF(ISNUMBER(Q128),IF(OR(ISBLANK(K128),ISNUMBER(K128)),ROUND(Q128-SUM(K128),2),"Review amounts"),Q128)</x:f>
      </x:c>
      <x:c r="S128" s="32" t="str">
        <x:f>IF(ISNUMBER(R128),IF(COUNTIFS(Allocations!$C$7:$C$206,A128,Allocations!$F$7:$F$206,"Review allocation")&gt;0,"Review allocation",SUMIF(Allocations!$C$7:$C$206,A128,Allocations!$F$7:$F$206)),R128)</x:f>
      </x:c>
      <x:c r="T128" s="32" t="str">
        <x:f>IF(ISNUMBER(R128),IF(ISNUMBER(S128),ROUND(R128-S128,2),S128),R128)</x:f>
      </x:c>
    </x:row>
    <x:row r="129" ht="25" customHeight="1">
      <x:c r="A129" s="16"/>
      <x:c r="B129" s="16"/>
      <x:c r="C129" s="16"/>
      <x:c r="D129" s="16"/>
      <x:c r="E129" s="16"/>
      <x:c r="F129" s="17"/>
      <x:c r="G129" s="18"/>
      <x:c r="H129" s="19"/>
      <x:c r="I129" s="19"/>
      <x:c r="J129" s="16"/>
      <x:c r="K129" s="19"/>
      <x:c r="L129" s="19"/>
      <x:c r="M129" s="19"/>
      <x:c r="N129" s="16"/>
      <x:c r="O129" s="16"/>
      <x:c r="P129" s="16"/>
      <x:c r="Q129" s="32" t="str">
        <x:f>IF(A129="","",IF(ISNUMBER(H129),IF(COUNT(I129,L129,M129)=COUNTA(I129,L129,M129),ROUND(H129-SUM(I129)+SUM(L129)+SUM(M129),2),"Review amounts"),IF(ISBLANK(H129),"","Review amounts")))</x:f>
      </x:c>
      <x:c r="R129" s="32" t="str">
        <x:f>IF(ISNUMBER(Q129),IF(OR(ISBLANK(K129),ISNUMBER(K129)),ROUND(Q129-SUM(K129),2),"Review amounts"),Q129)</x:f>
      </x:c>
      <x:c r="S129" s="32" t="str">
        <x:f>IF(ISNUMBER(R129),IF(COUNTIFS(Allocations!$C$7:$C$206,A129,Allocations!$F$7:$F$206,"Review allocation")&gt;0,"Review allocation",SUMIF(Allocations!$C$7:$C$206,A129,Allocations!$F$7:$F$206)),R129)</x:f>
      </x:c>
      <x:c r="T129" s="32" t="str">
        <x:f>IF(ISNUMBER(R129),IF(ISNUMBER(S129),ROUND(R129-S129,2),S129),R129)</x:f>
      </x:c>
    </x:row>
    <x:row r="130" ht="25" customHeight="1">
      <x:c r="A130" s="16"/>
      <x:c r="B130" s="16"/>
      <x:c r="C130" s="16"/>
      <x:c r="D130" s="16"/>
      <x:c r="E130" s="16"/>
      <x:c r="F130" s="17"/>
      <x:c r="G130" s="18"/>
      <x:c r="H130" s="19"/>
      <x:c r="I130" s="19"/>
      <x:c r="J130" s="16"/>
      <x:c r="K130" s="19"/>
      <x:c r="L130" s="19"/>
      <x:c r="M130" s="19"/>
      <x:c r="N130" s="16"/>
      <x:c r="O130" s="16"/>
      <x:c r="P130" s="16"/>
      <x:c r="Q130" s="32" t="str">
        <x:f>IF(A130="","",IF(ISNUMBER(H130),IF(COUNT(I130,L130,M130)=COUNTA(I130,L130,M130),ROUND(H130-SUM(I130)+SUM(L130)+SUM(M130),2),"Review amounts"),IF(ISBLANK(H130),"","Review amounts")))</x:f>
      </x:c>
      <x:c r="R130" s="32" t="str">
        <x:f>IF(ISNUMBER(Q130),IF(OR(ISBLANK(K130),ISNUMBER(K130)),ROUND(Q130-SUM(K130),2),"Review amounts"),Q130)</x:f>
      </x:c>
      <x:c r="S130" s="32" t="str">
        <x:f>IF(ISNUMBER(R130),IF(COUNTIFS(Allocations!$C$7:$C$206,A130,Allocations!$F$7:$F$206,"Review allocation")&gt;0,"Review allocation",SUMIF(Allocations!$C$7:$C$206,A130,Allocations!$F$7:$F$206)),R130)</x:f>
      </x:c>
      <x:c r="T130" s="32" t="str">
        <x:f>IF(ISNUMBER(R130),IF(ISNUMBER(S130),ROUND(R130-S130,2),S130),R130)</x:f>
      </x:c>
    </x:row>
    <x:row r="131" ht="25" customHeight="1">
      <x:c r="A131" s="16"/>
      <x:c r="B131" s="16"/>
      <x:c r="C131" s="16"/>
      <x:c r="D131" s="16"/>
      <x:c r="E131" s="16"/>
      <x:c r="F131" s="17"/>
      <x:c r="G131" s="18"/>
      <x:c r="H131" s="19"/>
      <x:c r="I131" s="19"/>
      <x:c r="J131" s="16"/>
      <x:c r="K131" s="19"/>
      <x:c r="L131" s="19"/>
      <x:c r="M131" s="19"/>
      <x:c r="N131" s="16"/>
      <x:c r="O131" s="16"/>
      <x:c r="P131" s="16"/>
      <x:c r="Q131" s="32" t="str">
        <x:f>IF(A131="","",IF(ISNUMBER(H131),IF(COUNT(I131,L131,M131)=COUNTA(I131,L131,M131),ROUND(H131-SUM(I131)+SUM(L131)+SUM(M131),2),"Review amounts"),IF(ISBLANK(H131),"","Review amounts")))</x:f>
      </x:c>
      <x:c r="R131" s="32" t="str">
        <x:f>IF(ISNUMBER(Q131),IF(OR(ISBLANK(K131),ISNUMBER(K131)),ROUND(Q131-SUM(K131),2),"Review amounts"),Q131)</x:f>
      </x:c>
      <x:c r="S131" s="32" t="str">
        <x:f>IF(ISNUMBER(R131),IF(COUNTIFS(Allocations!$C$7:$C$206,A131,Allocations!$F$7:$F$206,"Review allocation")&gt;0,"Review allocation",SUMIF(Allocations!$C$7:$C$206,A131,Allocations!$F$7:$F$206)),R131)</x:f>
      </x:c>
      <x:c r="T131" s="32" t="str">
        <x:f>IF(ISNUMBER(R131),IF(ISNUMBER(S131),ROUND(R131-S131,2),S131),R131)</x:f>
      </x:c>
    </x:row>
    <x:row r="132" ht="25" customHeight="1">
      <x:c r="A132" s="16"/>
      <x:c r="B132" s="16"/>
      <x:c r="C132" s="16"/>
      <x:c r="D132" s="16"/>
      <x:c r="E132" s="16"/>
      <x:c r="F132" s="17"/>
      <x:c r="G132" s="18"/>
      <x:c r="H132" s="19"/>
      <x:c r="I132" s="19"/>
      <x:c r="J132" s="16"/>
      <x:c r="K132" s="19"/>
      <x:c r="L132" s="19"/>
      <x:c r="M132" s="19"/>
      <x:c r="N132" s="16"/>
      <x:c r="O132" s="16"/>
      <x:c r="P132" s="16"/>
      <x:c r="Q132" s="32" t="str">
        <x:f>IF(A132="","",IF(ISNUMBER(H132),IF(COUNT(I132,L132,M132)=COUNTA(I132,L132,M132),ROUND(H132-SUM(I132)+SUM(L132)+SUM(M132),2),"Review amounts"),IF(ISBLANK(H132),"","Review amounts")))</x:f>
      </x:c>
      <x:c r="R132" s="32" t="str">
        <x:f>IF(ISNUMBER(Q132),IF(OR(ISBLANK(K132),ISNUMBER(K132)),ROUND(Q132-SUM(K132),2),"Review amounts"),Q132)</x:f>
      </x:c>
      <x:c r="S132" s="32" t="str">
        <x:f>IF(ISNUMBER(R132),IF(COUNTIFS(Allocations!$C$7:$C$206,A132,Allocations!$F$7:$F$206,"Review allocation")&gt;0,"Review allocation",SUMIF(Allocations!$C$7:$C$206,A132,Allocations!$F$7:$F$206)),R132)</x:f>
      </x:c>
      <x:c r="T132" s="32" t="str">
        <x:f>IF(ISNUMBER(R132),IF(ISNUMBER(S132),ROUND(R132-S132,2),S132),R132)</x:f>
      </x:c>
    </x:row>
    <x:row r="133" ht="25" customHeight="1">
      <x:c r="A133" s="16"/>
      <x:c r="B133" s="16"/>
      <x:c r="C133" s="16"/>
      <x:c r="D133" s="16"/>
      <x:c r="E133" s="16"/>
      <x:c r="F133" s="17"/>
      <x:c r="G133" s="18"/>
      <x:c r="H133" s="19"/>
      <x:c r="I133" s="19"/>
      <x:c r="J133" s="16"/>
      <x:c r="K133" s="19"/>
      <x:c r="L133" s="19"/>
      <x:c r="M133" s="19"/>
      <x:c r="N133" s="16"/>
      <x:c r="O133" s="16"/>
      <x:c r="P133" s="16"/>
      <x:c r="Q133" s="32" t="str">
        <x:f>IF(A133="","",IF(ISNUMBER(H133),IF(COUNT(I133,L133,M133)=COUNTA(I133,L133,M133),ROUND(H133-SUM(I133)+SUM(L133)+SUM(M133),2),"Review amounts"),IF(ISBLANK(H133),"","Review amounts")))</x:f>
      </x:c>
      <x:c r="R133" s="32" t="str">
        <x:f>IF(ISNUMBER(Q133),IF(OR(ISBLANK(K133),ISNUMBER(K133)),ROUND(Q133-SUM(K133),2),"Review amounts"),Q133)</x:f>
      </x:c>
      <x:c r="S133" s="32" t="str">
        <x:f>IF(ISNUMBER(R133),IF(COUNTIFS(Allocations!$C$7:$C$206,A133,Allocations!$F$7:$F$206,"Review allocation")&gt;0,"Review allocation",SUMIF(Allocations!$C$7:$C$206,A133,Allocations!$F$7:$F$206)),R133)</x:f>
      </x:c>
      <x:c r="T133" s="32" t="str">
        <x:f>IF(ISNUMBER(R133),IF(ISNUMBER(S133),ROUND(R133-S133,2),S133),R133)</x:f>
      </x:c>
    </x:row>
    <x:row r="134" ht="25" customHeight="1">
      <x:c r="A134" s="16"/>
      <x:c r="B134" s="16"/>
      <x:c r="C134" s="16"/>
      <x:c r="D134" s="16"/>
      <x:c r="E134" s="16"/>
      <x:c r="F134" s="17"/>
      <x:c r="G134" s="18"/>
      <x:c r="H134" s="19"/>
      <x:c r="I134" s="19"/>
      <x:c r="J134" s="16"/>
      <x:c r="K134" s="19"/>
      <x:c r="L134" s="19"/>
      <x:c r="M134" s="19"/>
      <x:c r="N134" s="16"/>
      <x:c r="O134" s="16"/>
      <x:c r="P134" s="16"/>
      <x:c r="Q134" s="32" t="str">
        <x:f>IF(A134="","",IF(ISNUMBER(H134),IF(COUNT(I134,L134,M134)=COUNTA(I134,L134,M134),ROUND(H134-SUM(I134)+SUM(L134)+SUM(M134),2),"Review amounts"),IF(ISBLANK(H134),"","Review amounts")))</x:f>
      </x:c>
      <x:c r="R134" s="32" t="str">
        <x:f>IF(ISNUMBER(Q134),IF(OR(ISBLANK(K134),ISNUMBER(K134)),ROUND(Q134-SUM(K134),2),"Review amounts"),Q134)</x:f>
      </x:c>
      <x:c r="S134" s="32" t="str">
        <x:f>IF(ISNUMBER(R134),IF(COUNTIFS(Allocations!$C$7:$C$206,A134,Allocations!$F$7:$F$206,"Review allocation")&gt;0,"Review allocation",SUMIF(Allocations!$C$7:$C$206,A134,Allocations!$F$7:$F$206)),R134)</x:f>
      </x:c>
      <x:c r="T134" s="32" t="str">
        <x:f>IF(ISNUMBER(R134),IF(ISNUMBER(S134),ROUND(R134-S134,2),S134),R134)</x:f>
      </x:c>
    </x:row>
    <x:row r="135" ht="25" customHeight="1">
      <x:c r="A135" s="16"/>
      <x:c r="B135" s="16"/>
      <x:c r="C135" s="16"/>
      <x:c r="D135" s="16"/>
      <x:c r="E135" s="16"/>
      <x:c r="F135" s="17"/>
      <x:c r="G135" s="18"/>
      <x:c r="H135" s="19"/>
      <x:c r="I135" s="19"/>
      <x:c r="J135" s="16"/>
      <x:c r="K135" s="19"/>
      <x:c r="L135" s="19"/>
      <x:c r="M135" s="19"/>
      <x:c r="N135" s="16"/>
      <x:c r="O135" s="16"/>
      <x:c r="P135" s="16"/>
      <x:c r="Q135" s="32" t="str">
        <x:f>IF(A135="","",IF(ISNUMBER(H135),IF(COUNT(I135,L135,M135)=COUNTA(I135,L135,M135),ROUND(H135-SUM(I135)+SUM(L135)+SUM(M135),2),"Review amounts"),IF(ISBLANK(H135),"","Review amounts")))</x:f>
      </x:c>
      <x:c r="R135" s="32" t="str">
        <x:f>IF(ISNUMBER(Q135),IF(OR(ISBLANK(K135),ISNUMBER(K135)),ROUND(Q135-SUM(K135),2),"Review amounts"),Q135)</x:f>
      </x:c>
      <x:c r="S135" s="32" t="str">
        <x:f>IF(ISNUMBER(R135),IF(COUNTIFS(Allocations!$C$7:$C$206,A135,Allocations!$F$7:$F$206,"Review allocation")&gt;0,"Review allocation",SUMIF(Allocations!$C$7:$C$206,A135,Allocations!$F$7:$F$206)),R135)</x:f>
      </x:c>
      <x:c r="T135" s="32" t="str">
        <x:f>IF(ISNUMBER(R135),IF(ISNUMBER(S135),ROUND(R135-S135,2),S135),R135)</x:f>
      </x:c>
    </x:row>
    <x:row r="136" ht="25" customHeight="1">
      <x:c r="A136" s="16"/>
      <x:c r="B136" s="16"/>
      <x:c r="C136" s="16"/>
      <x:c r="D136" s="16"/>
      <x:c r="E136" s="16"/>
      <x:c r="F136" s="17"/>
      <x:c r="G136" s="18"/>
      <x:c r="H136" s="19"/>
      <x:c r="I136" s="19"/>
      <x:c r="J136" s="16"/>
      <x:c r="K136" s="19"/>
      <x:c r="L136" s="19"/>
      <x:c r="M136" s="19"/>
      <x:c r="N136" s="16"/>
      <x:c r="O136" s="16"/>
      <x:c r="P136" s="16"/>
      <x:c r="Q136" s="32" t="str">
        <x:f>IF(A136="","",IF(ISNUMBER(H136),IF(COUNT(I136,L136,M136)=COUNTA(I136,L136,M136),ROUND(H136-SUM(I136)+SUM(L136)+SUM(M136),2),"Review amounts"),IF(ISBLANK(H136),"","Review amounts")))</x:f>
      </x:c>
      <x:c r="R136" s="32" t="str">
        <x:f>IF(ISNUMBER(Q136),IF(OR(ISBLANK(K136),ISNUMBER(K136)),ROUND(Q136-SUM(K136),2),"Review amounts"),Q136)</x:f>
      </x:c>
      <x:c r="S136" s="32" t="str">
        <x:f>IF(ISNUMBER(R136),IF(COUNTIFS(Allocations!$C$7:$C$206,A136,Allocations!$F$7:$F$206,"Review allocation")&gt;0,"Review allocation",SUMIF(Allocations!$C$7:$C$206,A136,Allocations!$F$7:$F$206)),R136)</x:f>
      </x:c>
      <x:c r="T136" s="32" t="str">
        <x:f>IF(ISNUMBER(R136),IF(ISNUMBER(S136),ROUND(R136-S136,2),S136),R136)</x:f>
      </x:c>
    </x:row>
    <x:row r="137" ht="25" customHeight="1">
      <x:c r="A137" s="16"/>
      <x:c r="B137" s="16"/>
      <x:c r="C137" s="16"/>
      <x:c r="D137" s="16"/>
      <x:c r="E137" s="16"/>
      <x:c r="F137" s="17"/>
      <x:c r="G137" s="18"/>
      <x:c r="H137" s="19"/>
      <x:c r="I137" s="19"/>
      <x:c r="J137" s="16"/>
      <x:c r="K137" s="19"/>
      <x:c r="L137" s="19"/>
      <x:c r="M137" s="19"/>
      <x:c r="N137" s="16"/>
      <x:c r="O137" s="16"/>
      <x:c r="P137" s="16"/>
      <x:c r="Q137" s="32" t="str">
        <x:f>IF(A137="","",IF(ISNUMBER(H137),IF(COUNT(I137,L137,M137)=COUNTA(I137,L137,M137),ROUND(H137-SUM(I137)+SUM(L137)+SUM(M137),2),"Review amounts"),IF(ISBLANK(H137),"","Review amounts")))</x:f>
      </x:c>
      <x:c r="R137" s="32" t="str">
        <x:f>IF(ISNUMBER(Q137),IF(OR(ISBLANK(K137),ISNUMBER(K137)),ROUND(Q137-SUM(K137),2),"Review amounts"),Q137)</x:f>
      </x:c>
      <x:c r="S137" s="32" t="str">
        <x:f>IF(ISNUMBER(R137),IF(COUNTIFS(Allocations!$C$7:$C$206,A137,Allocations!$F$7:$F$206,"Review allocation")&gt;0,"Review allocation",SUMIF(Allocations!$C$7:$C$206,A137,Allocations!$F$7:$F$206)),R137)</x:f>
      </x:c>
      <x:c r="T137" s="32" t="str">
        <x:f>IF(ISNUMBER(R137),IF(ISNUMBER(S137),ROUND(R137-S137,2),S137),R137)</x:f>
      </x:c>
    </x:row>
    <x:row r="138" ht="25" customHeight="1">
      <x:c r="A138" s="16"/>
      <x:c r="B138" s="16"/>
      <x:c r="C138" s="16"/>
      <x:c r="D138" s="16"/>
      <x:c r="E138" s="16"/>
      <x:c r="F138" s="17"/>
      <x:c r="G138" s="18"/>
      <x:c r="H138" s="19"/>
      <x:c r="I138" s="19"/>
      <x:c r="J138" s="16"/>
      <x:c r="K138" s="19"/>
      <x:c r="L138" s="19"/>
      <x:c r="M138" s="19"/>
      <x:c r="N138" s="16"/>
      <x:c r="O138" s="16"/>
      <x:c r="P138" s="16"/>
      <x:c r="Q138" s="32" t="str">
        <x:f>IF(A138="","",IF(ISNUMBER(H138),IF(COUNT(I138,L138,M138)=COUNTA(I138,L138,M138),ROUND(H138-SUM(I138)+SUM(L138)+SUM(M138),2),"Review amounts"),IF(ISBLANK(H138),"","Review amounts")))</x:f>
      </x:c>
      <x:c r="R138" s="32" t="str">
        <x:f>IF(ISNUMBER(Q138),IF(OR(ISBLANK(K138),ISNUMBER(K138)),ROUND(Q138-SUM(K138),2),"Review amounts"),Q138)</x:f>
      </x:c>
      <x:c r="S138" s="32" t="str">
        <x:f>IF(ISNUMBER(R138),IF(COUNTIFS(Allocations!$C$7:$C$206,A138,Allocations!$F$7:$F$206,"Review allocation")&gt;0,"Review allocation",SUMIF(Allocations!$C$7:$C$206,A138,Allocations!$F$7:$F$206)),R138)</x:f>
      </x:c>
      <x:c r="T138" s="32" t="str">
        <x:f>IF(ISNUMBER(R138),IF(ISNUMBER(S138),ROUND(R138-S138,2),S138),R138)</x:f>
      </x:c>
    </x:row>
    <x:row r="139" ht="25" customHeight="1">
      <x:c r="A139" s="16"/>
      <x:c r="B139" s="16"/>
      <x:c r="C139" s="16"/>
      <x:c r="D139" s="16"/>
      <x:c r="E139" s="16"/>
      <x:c r="F139" s="17"/>
      <x:c r="G139" s="18"/>
      <x:c r="H139" s="19"/>
      <x:c r="I139" s="19"/>
      <x:c r="J139" s="16"/>
      <x:c r="K139" s="19"/>
      <x:c r="L139" s="19"/>
      <x:c r="M139" s="19"/>
      <x:c r="N139" s="16"/>
      <x:c r="O139" s="16"/>
      <x:c r="P139" s="16"/>
      <x:c r="Q139" s="32" t="str">
        <x:f>IF(A139="","",IF(ISNUMBER(H139),IF(COUNT(I139,L139,M139)=COUNTA(I139,L139,M139),ROUND(H139-SUM(I139)+SUM(L139)+SUM(M139),2),"Review amounts"),IF(ISBLANK(H139),"","Review amounts")))</x:f>
      </x:c>
      <x:c r="R139" s="32" t="str">
        <x:f>IF(ISNUMBER(Q139),IF(OR(ISBLANK(K139),ISNUMBER(K139)),ROUND(Q139-SUM(K139),2),"Review amounts"),Q139)</x:f>
      </x:c>
      <x:c r="S139" s="32" t="str">
        <x:f>IF(ISNUMBER(R139),IF(COUNTIFS(Allocations!$C$7:$C$206,A139,Allocations!$F$7:$F$206,"Review allocation")&gt;0,"Review allocation",SUMIF(Allocations!$C$7:$C$206,A139,Allocations!$F$7:$F$206)),R139)</x:f>
      </x:c>
      <x:c r="T139" s="32" t="str">
        <x:f>IF(ISNUMBER(R139),IF(ISNUMBER(S139),ROUND(R139-S139,2),S139),R139)</x:f>
      </x:c>
    </x:row>
    <x:row r="140" ht="25" customHeight="1">
      <x:c r="A140" s="16"/>
      <x:c r="B140" s="16"/>
      <x:c r="C140" s="16"/>
      <x:c r="D140" s="16"/>
      <x:c r="E140" s="16"/>
      <x:c r="F140" s="17"/>
      <x:c r="G140" s="18"/>
      <x:c r="H140" s="19"/>
      <x:c r="I140" s="19"/>
      <x:c r="J140" s="16"/>
      <x:c r="K140" s="19"/>
      <x:c r="L140" s="19"/>
      <x:c r="M140" s="19"/>
      <x:c r="N140" s="16"/>
      <x:c r="O140" s="16"/>
      <x:c r="P140" s="16"/>
      <x:c r="Q140" s="32" t="str">
        <x:f>IF(A140="","",IF(ISNUMBER(H140),IF(COUNT(I140,L140,M140)=COUNTA(I140,L140,M140),ROUND(H140-SUM(I140)+SUM(L140)+SUM(M140),2),"Review amounts"),IF(ISBLANK(H140),"","Review amounts")))</x:f>
      </x:c>
      <x:c r="R140" s="32" t="str">
        <x:f>IF(ISNUMBER(Q140),IF(OR(ISBLANK(K140),ISNUMBER(K140)),ROUND(Q140-SUM(K140),2),"Review amounts"),Q140)</x:f>
      </x:c>
      <x:c r="S140" s="32" t="str">
        <x:f>IF(ISNUMBER(R140),IF(COUNTIFS(Allocations!$C$7:$C$206,A140,Allocations!$F$7:$F$206,"Review allocation")&gt;0,"Review allocation",SUMIF(Allocations!$C$7:$C$206,A140,Allocations!$F$7:$F$206)),R140)</x:f>
      </x:c>
      <x:c r="T140" s="32" t="str">
        <x:f>IF(ISNUMBER(R140),IF(ISNUMBER(S140),ROUND(R140-S140,2),S140),R140)</x:f>
      </x:c>
    </x:row>
    <x:row r="141" ht="25" customHeight="1">
      <x:c r="A141" s="16"/>
      <x:c r="B141" s="16"/>
      <x:c r="C141" s="16"/>
      <x:c r="D141" s="16"/>
      <x:c r="E141" s="16"/>
      <x:c r="F141" s="17"/>
      <x:c r="G141" s="18"/>
      <x:c r="H141" s="19"/>
      <x:c r="I141" s="19"/>
      <x:c r="J141" s="16"/>
      <x:c r="K141" s="19"/>
      <x:c r="L141" s="19"/>
      <x:c r="M141" s="19"/>
      <x:c r="N141" s="16"/>
      <x:c r="O141" s="16"/>
      <x:c r="P141" s="16"/>
      <x:c r="Q141" s="32" t="str">
        <x:f>IF(A141="","",IF(ISNUMBER(H141),IF(COUNT(I141,L141,M141)=COUNTA(I141,L141,M141),ROUND(H141-SUM(I141)+SUM(L141)+SUM(M141),2),"Review amounts"),IF(ISBLANK(H141),"","Review amounts")))</x:f>
      </x:c>
      <x:c r="R141" s="32" t="str">
        <x:f>IF(ISNUMBER(Q141),IF(OR(ISBLANK(K141),ISNUMBER(K141)),ROUND(Q141-SUM(K141),2),"Review amounts"),Q141)</x:f>
      </x:c>
      <x:c r="S141" s="32" t="str">
        <x:f>IF(ISNUMBER(R141),IF(COUNTIFS(Allocations!$C$7:$C$206,A141,Allocations!$F$7:$F$206,"Review allocation")&gt;0,"Review allocation",SUMIF(Allocations!$C$7:$C$206,A141,Allocations!$F$7:$F$206)),R141)</x:f>
      </x:c>
      <x:c r="T141" s="32" t="str">
        <x:f>IF(ISNUMBER(R141),IF(ISNUMBER(S141),ROUND(R141-S141,2),S141),R141)</x:f>
      </x:c>
    </x:row>
    <x:row r="142" ht="25" customHeight="1">
      <x:c r="A142" s="16"/>
      <x:c r="B142" s="16"/>
      <x:c r="C142" s="16"/>
      <x:c r="D142" s="16"/>
      <x:c r="E142" s="16"/>
      <x:c r="F142" s="17"/>
      <x:c r="G142" s="18"/>
      <x:c r="H142" s="19"/>
      <x:c r="I142" s="19"/>
      <x:c r="J142" s="16"/>
      <x:c r="K142" s="19"/>
      <x:c r="L142" s="19"/>
      <x:c r="M142" s="19"/>
      <x:c r="N142" s="16"/>
      <x:c r="O142" s="16"/>
      <x:c r="P142" s="16"/>
      <x:c r="Q142" s="32" t="str">
        <x:f>IF(A142="","",IF(ISNUMBER(H142),IF(COUNT(I142,L142,M142)=COUNTA(I142,L142,M142),ROUND(H142-SUM(I142)+SUM(L142)+SUM(M142),2),"Review amounts"),IF(ISBLANK(H142),"","Review amounts")))</x:f>
      </x:c>
      <x:c r="R142" s="32" t="str">
        <x:f>IF(ISNUMBER(Q142),IF(OR(ISBLANK(K142),ISNUMBER(K142)),ROUND(Q142-SUM(K142),2),"Review amounts"),Q142)</x:f>
      </x:c>
      <x:c r="S142" s="32" t="str">
        <x:f>IF(ISNUMBER(R142),IF(COUNTIFS(Allocations!$C$7:$C$206,A142,Allocations!$F$7:$F$206,"Review allocation")&gt;0,"Review allocation",SUMIF(Allocations!$C$7:$C$206,A142,Allocations!$F$7:$F$206)),R142)</x:f>
      </x:c>
      <x:c r="T142" s="32" t="str">
        <x:f>IF(ISNUMBER(R142),IF(ISNUMBER(S142),ROUND(R142-S142,2),S142),R142)</x:f>
      </x:c>
    </x:row>
    <x:row r="143" ht="25" customHeight="1">
      <x:c r="A143" s="16"/>
      <x:c r="B143" s="16"/>
      <x:c r="C143" s="16"/>
      <x:c r="D143" s="16"/>
      <x:c r="E143" s="16"/>
      <x:c r="F143" s="17"/>
      <x:c r="G143" s="18"/>
      <x:c r="H143" s="19"/>
      <x:c r="I143" s="19"/>
      <x:c r="J143" s="16"/>
      <x:c r="K143" s="19"/>
      <x:c r="L143" s="19"/>
      <x:c r="M143" s="19"/>
      <x:c r="N143" s="16"/>
      <x:c r="O143" s="16"/>
      <x:c r="P143" s="16"/>
      <x:c r="Q143" s="32" t="str">
        <x:f>IF(A143="","",IF(ISNUMBER(H143),IF(COUNT(I143,L143,M143)=COUNTA(I143,L143,M143),ROUND(H143-SUM(I143)+SUM(L143)+SUM(M143),2),"Review amounts"),IF(ISBLANK(H143),"","Review amounts")))</x:f>
      </x:c>
      <x:c r="R143" s="32" t="str">
        <x:f>IF(ISNUMBER(Q143),IF(OR(ISBLANK(K143),ISNUMBER(K143)),ROUND(Q143-SUM(K143),2),"Review amounts"),Q143)</x:f>
      </x:c>
      <x:c r="S143" s="32" t="str">
        <x:f>IF(ISNUMBER(R143),IF(COUNTIFS(Allocations!$C$7:$C$206,A143,Allocations!$F$7:$F$206,"Review allocation")&gt;0,"Review allocation",SUMIF(Allocations!$C$7:$C$206,A143,Allocations!$F$7:$F$206)),R143)</x:f>
      </x:c>
      <x:c r="T143" s="32" t="str">
        <x:f>IF(ISNUMBER(R143),IF(ISNUMBER(S143),ROUND(R143-S143,2),S143),R143)</x:f>
      </x:c>
    </x:row>
    <x:row r="144" ht="25" customHeight="1">
      <x:c r="A144" s="16"/>
      <x:c r="B144" s="16"/>
      <x:c r="C144" s="16"/>
      <x:c r="D144" s="16"/>
      <x:c r="E144" s="16"/>
      <x:c r="F144" s="17"/>
      <x:c r="G144" s="18"/>
      <x:c r="H144" s="19"/>
      <x:c r="I144" s="19"/>
      <x:c r="J144" s="16"/>
      <x:c r="K144" s="19"/>
      <x:c r="L144" s="19"/>
      <x:c r="M144" s="19"/>
      <x:c r="N144" s="16"/>
      <x:c r="O144" s="16"/>
      <x:c r="P144" s="16"/>
      <x:c r="Q144" s="32" t="str">
        <x:f>IF(A144="","",IF(ISNUMBER(H144),IF(COUNT(I144,L144,M144)=COUNTA(I144,L144,M144),ROUND(H144-SUM(I144)+SUM(L144)+SUM(M144),2),"Review amounts"),IF(ISBLANK(H144),"","Review amounts")))</x:f>
      </x:c>
      <x:c r="R144" s="32" t="str">
        <x:f>IF(ISNUMBER(Q144),IF(OR(ISBLANK(K144),ISNUMBER(K144)),ROUND(Q144-SUM(K144),2),"Review amounts"),Q144)</x:f>
      </x:c>
      <x:c r="S144" s="32" t="str">
        <x:f>IF(ISNUMBER(R144),IF(COUNTIFS(Allocations!$C$7:$C$206,A144,Allocations!$F$7:$F$206,"Review allocation")&gt;0,"Review allocation",SUMIF(Allocations!$C$7:$C$206,A144,Allocations!$F$7:$F$206)),R144)</x:f>
      </x:c>
      <x:c r="T144" s="32" t="str">
        <x:f>IF(ISNUMBER(R144),IF(ISNUMBER(S144),ROUND(R144-S144,2),S144),R144)</x:f>
      </x:c>
    </x:row>
    <x:row r="145" ht="25" customHeight="1">
      <x:c r="A145" s="16"/>
      <x:c r="B145" s="16"/>
      <x:c r="C145" s="16"/>
      <x:c r="D145" s="16"/>
      <x:c r="E145" s="16"/>
      <x:c r="F145" s="17"/>
      <x:c r="G145" s="18"/>
      <x:c r="H145" s="19"/>
      <x:c r="I145" s="19"/>
      <x:c r="J145" s="16"/>
      <x:c r="K145" s="19"/>
      <x:c r="L145" s="19"/>
      <x:c r="M145" s="19"/>
      <x:c r="N145" s="16"/>
      <x:c r="O145" s="16"/>
      <x:c r="P145" s="16"/>
      <x:c r="Q145" s="32" t="str">
        <x:f>IF(A145="","",IF(ISNUMBER(H145),IF(COUNT(I145,L145,M145)=COUNTA(I145,L145,M145),ROUND(H145-SUM(I145)+SUM(L145)+SUM(M145),2),"Review amounts"),IF(ISBLANK(H145),"","Review amounts")))</x:f>
      </x:c>
      <x:c r="R145" s="32" t="str">
        <x:f>IF(ISNUMBER(Q145),IF(OR(ISBLANK(K145),ISNUMBER(K145)),ROUND(Q145-SUM(K145),2),"Review amounts"),Q145)</x:f>
      </x:c>
      <x:c r="S145" s="32" t="str">
        <x:f>IF(ISNUMBER(R145),IF(COUNTIFS(Allocations!$C$7:$C$206,A145,Allocations!$F$7:$F$206,"Review allocation")&gt;0,"Review allocation",SUMIF(Allocations!$C$7:$C$206,A145,Allocations!$F$7:$F$206)),R145)</x:f>
      </x:c>
      <x:c r="T145" s="32" t="str">
        <x:f>IF(ISNUMBER(R145),IF(ISNUMBER(S145),ROUND(R145-S145,2),S145),R145)</x:f>
      </x:c>
    </x:row>
    <x:row r="146" ht="25" customHeight="1">
      <x:c r="A146" s="16"/>
      <x:c r="B146" s="16"/>
      <x:c r="C146" s="16"/>
      <x:c r="D146" s="16"/>
      <x:c r="E146" s="16"/>
      <x:c r="F146" s="17"/>
      <x:c r="G146" s="18"/>
      <x:c r="H146" s="19"/>
      <x:c r="I146" s="19"/>
      <x:c r="J146" s="16"/>
      <x:c r="K146" s="19"/>
      <x:c r="L146" s="19"/>
      <x:c r="M146" s="19"/>
      <x:c r="N146" s="16"/>
      <x:c r="O146" s="16"/>
      <x:c r="P146" s="16"/>
      <x:c r="Q146" s="32" t="str">
        <x:f>IF(A146="","",IF(ISNUMBER(H146),IF(COUNT(I146,L146,M146)=COUNTA(I146,L146,M146),ROUND(H146-SUM(I146)+SUM(L146)+SUM(M146),2),"Review amounts"),IF(ISBLANK(H146),"","Review amounts")))</x:f>
      </x:c>
      <x:c r="R146" s="32" t="str">
        <x:f>IF(ISNUMBER(Q146),IF(OR(ISBLANK(K146),ISNUMBER(K146)),ROUND(Q146-SUM(K146),2),"Review amounts"),Q146)</x:f>
      </x:c>
      <x:c r="S146" s="32" t="str">
        <x:f>IF(ISNUMBER(R146),IF(COUNTIFS(Allocations!$C$7:$C$206,A146,Allocations!$F$7:$F$206,"Review allocation")&gt;0,"Review allocation",SUMIF(Allocations!$C$7:$C$206,A146,Allocations!$F$7:$F$206)),R146)</x:f>
      </x:c>
      <x:c r="T146" s="32" t="str">
        <x:f>IF(ISNUMBER(R146),IF(ISNUMBER(S146),ROUND(R146-S146,2),S146),R146)</x:f>
      </x:c>
    </x:row>
    <x:row r="147" ht="25" customHeight="1">
      <x:c r="A147" s="16"/>
      <x:c r="B147" s="16"/>
      <x:c r="C147" s="16"/>
      <x:c r="D147" s="16"/>
      <x:c r="E147" s="16"/>
      <x:c r="F147" s="17"/>
      <x:c r="G147" s="18"/>
      <x:c r="H147" s="19"/>
      <x:c r="I147" s="19"/>
      <x:c r="J147" s="16"/>
      <x:c r="K147" s="19"/>
      <x:c r="L147" s="19"/>
      <x:c r="M147" s="19"/>
      <x:c r="N147" s="16"/>
      <x:c r="O147" s="16"/>
      <x:c r="P147" s="16"/>
      <x:c r="Q147" s="32" t="str">
        <x:f>IF(A147="","",IF(ISNUMBER(H147),IF(COUNT(I147,L147,M147)=COUNTA(I147,L147,M147),ROUND(H147-SUM(I147)+SUM(L147)+SUM(M147),2),"Review amounts"),IF(ISBLANK(H147),"","Review amounts")))</x:f>
      </x:c>
      <x:c r="R147" s="32" t="str">
        <x:f>IF(ISNUMBER(Q147),IF(OR(ISBLANK(K147),ISNUMBER(K147)),ROUND(Q147-SUM(K147),2),"Review amounts"),Q147)</x:f>
      </x:c>
      <x:c r="S147" s="32" t="str">
        <x:f>IF(ISNUMBER(R147),IF(COUNTIFS(Allocations!$C$7:$C$206,A147,Allocations!$F$7:$F$206,"Review allocation")&gt;0,"Review allocation",SUMIF(Allocations!$C$7:$C$206,A147,Allocations!$F$7:$F$206)),R147)</x:f>
      </x:c>
      <x:c r="T147" s="32" t="str">
        <x:f>IF(ISNUMBER(R147),IF(ISNUMBER(S147),ROUND(R147-S147,2),S147),R147)</x:f>
      </x:c>
    </x:row>
    <x:row r="148" ht="25" customHeight="1">
      <x:c r="A148" s="16"/>
      <x:c r="B148" s="16"/>
      <x:c r="C148" s="16"/>
      <x:c r="D148" s="16"/>
      <x:c r="E148" s="16"/>
      <x:c r="F148" s="17"/>
      <x:c r="G148" s="18"/>
      <x:c r="H148" s="19"/>
      <x:c r="I148" s="19"/>
      <x:c r="J148" s="16"/>
      <x:c r="K148" s="19"/>
      <x:c r="L148" s="19"/>
      <x:c r="M148" s="19"/>
      <x:c r="N148" s="16"/>
      <x:c r="O148" s="16"/>
      <x:c r="P148" s="16"/>
      <x:c r="Q148" s="32" t="str">
        <x:f>IF(A148="","",IF(ISNUMBER(H148),IF(COUNT(I148,L148,M148)=COUNTA(I148,L148,M148),ROUND(H148-SUM(I148)+SUM(L148)+SUM(M148),2),"Review amounts"),IF(ISBLANK(H148),"","Review amounts")))</x:f>
      </x:c>
      <x:c r="R148" s="32" t="str">
        <x:f>IF(ISNUMBER(Q148),IF(OR(ISBLANK(K148),ISNUMBER(K148)),ROUND(Q148-SUM(K148),2),"Review amounts"),Q148)</x:f>
      </x:c>
      <x:c r="S148" s="32" t="str">
        <x:f>IF(ISNUMBER(R148),IF(COUNTIFS(Allocations!$C$7:$C$206,A148,Allocations!$F$7:$F$206,"Review allocation")&gt;0,"Review allocation",SUMIF(Allocations!$C$7:$C$206,A148,Allocations!$F$7:$F$206)),R148)</x:f>
      </x:c>
      <x:c r="T148" s="32" t="str">
        <x:f>IF(ISNUMBER(R148),IF(ISNUMBER(S148),ROUND(R148-S148,2),S148),R148)</x:f>
      </x:c>
    </x:row>
    <x:row r="149" ht="25" customHeight="1">
      <x:c r="A149" s="16"/>
      <x:c r="B149" s="16"/>
      <x:c r="C149" s="16"/>
      <x:c r="D149" s="16"/>
      <x:c r="E149" s="16"/>
      <x:c r="F149" s="17"/>
      <x:c r="G149" s="18"/>
      <x:c r="H149" s="19"/>
      <x:c r="I149" s="19"/>
      <x:c r="J149" s="16"/>
      <x:c r="K149" s="19"/>
      <x:c r="L149" s="19"/>
      <x:c r="M149" s="19"/>
      <x:c r="N149" s="16"/>
      <x:c r="O149" s="16"/>
      <x:c r="P149" s="16"/>
      <x:c r="Q149" s="32" t="str">
        <x:f>IF(A149="","",IF(ISNUMBER(H149),IF(COUNT(I149,L149,M149)=COUNTA(I149,L149,M149),ROUND(H149-SUM(I149)+SUM(L149)+SUM(M149),2),"Review amounts"),IF(ISBLANK(H149),"","Review amounts")))</x:f>
      </x:c>
      <x:c r="R149" s="32" t="str">
        <x:f>IF(ISNUMBER(Q149),IF(OR(ISBLANK(K149),ISNUMBER(K149)),ROUND(Q149-SUM(K149),2),"Review amounts"),Q149)</x:f>
      </x:c>
      <x:c r="S149" s="32" t="str">
        <x:f>IF(ISNUMBER(R149),IF(COUNTIFS(Allocations!$C$7:$C$206,A149,Allocations!$F$7:$F$206,"Review allocation")&gt;0,"Review allocation",SUMIF(Allocations!$C$7:$C$206,A149,Allocations!$F$7:$F$206)),R149)</x:f>
      </x:c>
      <x:c r="T149" s="32" t="str">
        <x:f>IF(ISNUMBER(R149),IF(ISNUMBER(S149),ROUND(R149-S149,2),S149),R149)</x:f>
      </x:c>
    </x:row>
    <x:row r="150" ht="25" customHeight="1">
      <x:c r="A150" s="16"/>
      <x:c r="B150" s="16"/>
      <x:c r="C150" s="16"/>
      <x:c r="D150" s="16"/>
      <x:c r="E150" s="16"/>
      <x:c r="F150" s="17"/>
      <x:c r="G150" s="18"/>
      <x:c r="H150" s="19"/>
      <x:c r="I150" s="19"/>
      <x:c r="J150" s="16"/>
      <x:c r="K150" s="19"/>
      <x:c r="L150" s="19"/>
      <x:c r="M150" s="19"/>
      <x:c r="N150" s="16"/>
      <x:c r="O150" s="16"/>
      <x:c r="P150" s="16"/>
      <x:c r="Q150" s="32" t="str">
        <x:f>IF(A150="","",IF(ISNUMBER(H150),IF(COUNT(I150,L150,M150)=COUNTA(I150,L150,M150),ROUND(H150-SUM(I150)+SUM(L150)+SUM(M150),2),"Review amounts"),IF(ISBLANK(H150),"","Review amounts")))</x:f>
      </x:c>
      <x:c r="R150" s="32" t="str">
        <x:f>IF(ISNUMBER(Q150),IF(OR(ISBLANK(K150),ISNUMBER(K150)),ROUND(Q150-SUM(K150),2),"Review amounts"),Q150)</x:f>
      </x:c>
      <x:c r="S150" s="32" t="str">
        <x:f>IF(ISNUMBER(R150),IF(COUNTIFS(Allocations!$C$7:$C$206,A150,Allocations!$F$7:$F$206,"Review allocation")&gt;0,"Review allocation",SUMIF(Allocations!$C$7:$C$206,A150,Allocations!$F$7:$F$206)),R150)</x:f>
      </x:c>
      <x:c r="T150" s="32" t="str">
        <x:f>IF(ISNUMBER(R150),IF(ISNUMBER(S150),ROUND(R150-S150,2),S150),R150)</x:f>
      </x:c>
    </x:row>
    <x:row r="151" ht="25" customHeight="1">
      <x:c r="A151" s="16"/>
      <x:c r="B151" s="16"/>
      <x:c r="C151" s="16"/>
      <x:c r="D151" s="16"/>
      <x:c r="E151" s="16"/>
      <x:c r="F151" s="17"/>
      <x:c r="G151" s="18"/>
      <x:c r="H151" s="19"/>
      <x:c r="I151" s="19"/>
      <x:c r="J151" s="16"/>
      <x:c r="K151" s="19"/>
      <x:c r="L151" s="19"/>
      <x:c r="M151" s="19"/>
      <x:c r="N151" s="16"/>
      <x:c r="O151" s="16"/>
      <x:c r="P151" s="16"/>
      <x:c r="Q151" s="32" t="str">
        <x:f>IF(A151="","",IF(ISNUMBER(H151),IF(COUNT(I151,L151,M151)=COUNTA(I151,L151,M151),ROUND(H151-SUM(I151)+SUM(L151)+SUM(M151),2),"Review amounts"),IF(ISBLANK(H151),"","Review amounts")))</x:f>
      </x:c>
      <x:c r="R151" s="32" t="str">
        <x:f>IF(ISNUMBER(Q151),IF(OR(ISBLANK(K151),ISNUMBER(K151)),ROUND(Q151-SUM(K151),2),"Review amounts"),Q151)</x:f>
      </x:c>
      <x:c r="S151" s="32" t="str">
        <x:f>IF(ISNUMBER(R151),IF(COUNTIFS(Allocations!$C$7:$C$206,A151,Allocations!$F$7:$F$206,"Review allocation")&gt;0,"Review allocation",SUMIF(Allocations!$C$7:$C$206,A151,Allocations!$F$7:$F$206)),R151)</x:f>
      </x:c>
      <x:c r="T151" s="32" t="str">
        <x:f>IF(ISNUMBER(R151),IF(ISNUMBER(S151),ROUND(R151-S151,2),S151),R151)</x:f>
      </x:c>
    </x:row>
    <x:row r="152" ht="25" customHeight="1">
      <x:c r="A152" s="16"/>
      <x:c r="B152" s="16"/>
      <x:c r="C152" s="16"/>
      <x:c r="D152" s="16"/>
      <x:c r="E152" s="16"/>
      <x:c r="F152" s="17"/>
      <x:c r="G152" s="18"/>
      <x:c r="H152" s="19"/>
      <x:c r="I152" s="19"/>
      <x:c r="J152" s="16"/>
      <x:c r="K152" s="19"/>
      <x:c r="L152" s="19"/>
      <x:c r="M152" s="19"/>
      <x:c r="N152" s="16"/>
      <x:c r="O152" s="16"/>
      <x:c r="P152" s="16"/>
      <x:c r="Q152" s="32" t="str">
        <x:f>IF(A152="","",IF(ISNUMBER(H152),IF(COUNT(I152,L152,M152)=COUNTA(I152,L152,M152),ROUND(H152-SUM(I152)+SUM(L152)+SUM(M152),2),"Review amounts"),IF(ISBLANK(H152),"","Review amounts")))</x:f>
      </x:c>
      <x:c r="R152" s="32" t="str">
        <x:f>IF(ISNUMBER(Q152),IF(OR(ISBLANK(K152),ISNUMBER(K152)),ROUND(Q152-SUM(K152),2),"Review amounts"),Q152)</x:f>
      </x:c>
      <x:c r="S152" s="32" t="str">
        <x:f>IF(ISNUMBER(R152),IF(COUNTIFS(Allocations!$C$7:$C$206,A152,Allocations!$F$7:$F$206,"Review allocation")&gt;0,"Review allocation",SUMIF(Allocations!$C$7:$C$206,A152,Allocations!$F$7:$F$206)),R152)</x:f>
      </x:c>
      <x:c r="T152" s="32" t="str">
        <x:f>IF(ISNUMBER(R152),IF(ISNUMBER(S152),ROUND(R152-S152,2),S152),R152)</x:f>
      </x:c>
    </x:row>
    <x:row r="153" ht="25" customHeight="1">
      <x:c r="A153" s="16"/>
      <x:c r="B153" s="16"/>
      <x:c r="C153" s="16"/>
      <x:c r="D153" s="16"/>
      <x:c r="E153" s="16"/>
      <x:c r="F153" s="17"/>
      <x:c r="G153" s="18"/>
      <x:c r="H153" s="19"/>
      <x:c r="I153" s="19"/>
      <x:c r="J153" s="16"/>
      <x:c r="K153" s="19"/>
      <x:c r="L153" s="19"/>
      <x:c r="M153" s="19"/>
      <x:c r="N153" s="16"/>
      <x:c r="O153" s="16"/>
      <x:c r="P153" s="16"/>
      <x:c r="Q153" s="32" t="str">
        <x:f>IF(A153="","",IF(ISNUMBER(H153),IF(COUNT(I153,L153,M153)=COUNTA(I153,L153,M153),ROUND(H153-SUM(I153)+SUM(L153)+SUM(M153),2),"Review amounts"),IF(ISBLANK(H153),"","Review amounts")))</x:f>
      </x:c>
      <x:c r="R153" s="32" t="str">
        <x:f>IF(ISNUMBER(Q153),IF(OR(ISBLANK(K153),ISNUMBER(K153)),ROUND(Q153-SUM(K153),2),"Review amounts"),Q153)</x:f>
      </x:c>
      <x:c r="S153" s="32" t="str">
        <x:f>IF(ISNUMBER(R153),IF(COUNTIFS(Allocations!$C$7:$C$206,A153,Allocations!$F$7:$F$206,"Review allocation")&gt;0,"Review allocation",SUMIF(Allocations!$C$7:$C$206,A153,Allocations!$F$7:$F$206)),R153)</x:f>
      </x:c>
      <x:c r="T153" s="32" t="str">
        <x:f>IF(ISNUMBER(R153),IF(ISNUMBER(S153),ROUND(R153-S153,2),S153),R153)</x:f>
      </x:c>
    </x:row>
    <x:row r="154" ht="25" customHeight="1">
      <x:c r="A154" s="16"/>
      <x:c r="B154" s="16"/>
      <x:c r="C154" s="16"/>
      <x:c r="D154" s="16"/>
      <x:c r="E154" s="16"/>
      <x:c r="F154" s="17"/>
      <x:c r="G154" s="18"/>
      <x:c r="H154" s="19"/>
      <x:c r="I154" s="19"/>
      <x:c r="J154" s="16"/>
      <x:c r="K154" s="19"/>
      <x:c r="L154" s="19"/>
      <x:c r="M154" s="19"/>
      <x:c r="N154" s="16"/>
      <x:c r="O154" s="16"/>
      <x:c r="P154" s="16"/>
      <x:c r="Q154" s="32" t="str">
        <x:f>IF(A154="","",IF(ISNUMBER(H154),IF(COUNT(I154,L154,M154)=COUNTA(I154,L154,M154),ROUND(H154-SUM(I154)+SUM(L154)+SUM(M154),2),"Review amounts"),IF(ISBLANK(H154),"","Review amounts")))</x:f>
      </x:c>
      <x:c r="R154" s="32" t="str">
        <x:f>IF(ISNUMBER(Q154),IF(OR(ISBLANK(K154),ISNUMBER(K154)),ROUND(Q154-SUM(K154),2),"Review amounts"),Q154)</x:f>
      </x:c>
      <x:c r="S154" s="32" t="str">
        <x:f>IF(ISNUMBER(R154),IF(COUNTIFS(Allocations!$C$7:$C$206,A154,Allocations!$F$7:$F$206,"Review allocation")&gt;0,"Review allocation",SUMIF(Allocations!$C$7:$C$206,A154,Allocations!$F$7:$F$206)),R154)</x:f>
      </x:c>
      <x:c r="T154" s="32" t="str">
        <x:f>IF(ISNUMBER(R154),IF(ISNUMBER(S154),ROUND(R154-S154,2),S154),R154)</x:f>
      </x:c>
    </x:row>
    <x:row r="155" ht="25" customHeight="1">
      <x:c r="A155" s="16"/>
      <x:c r="B155" s="16"/>
      <x:c r="C155" s="16"/>
      <x:c r="D155" s="16"/>
      <x:c r="E155" s="16"/>
      <x:c r="F155" s="17"/>
      <x:c r="G155" s="18"/>
      <x:c r="H155" s="19"/>
      <x:c r="I155" s="19"/>
      <x:c r="J155" s="16"/>
      <x:c r="K155" s="19"/>
      <x:c r="L155" s="19"/>
      <x:c r="M155" s="19"/>
      <x:c r="N155" s="16"/>
      <x:c r="O155" s="16"/>
      <x:c r="P155" s="16"/>
      <x:c r="Q155" s="32" t="str">
        <x:f>IF(A155="","",IF(ISNUMBER(H155),IF(COUNT(I155,L155,M155)=COUNTA(I155,L155,M155),ROUND(H155-SUM(I155)+SUM(L155)+SUM(M155),2),"Review amounts"),IF(ISBLANK(H155),"","Review amounts")))</x:f>
      </x:c>
      <x:c r="R155" s="32" t="str">
        <x:f>IF(ISNUMBER(Q155),IF(OR(ISBLANK(K155),ISNUMBER(K155)),ROUND(Q155-SUM(K155),2),"Review amounts"),Q155)</x:f>
      </x:c>
      <x:c r="S155" s="32" t="str">
        <x:f>IF(ISNUMBER(R155),IF(COUNTIFS(Allocations!$C$7:$C$206,A155,Allocations!$F$7:$F$206,"Review allocation")&gt;0,"Review allocation",SUMIF(Allocations!$C$7:$C$206,A155,Allocations!$F$7:$F$206)),R155)</x:f>
      </x:c>
      <x:c r="T155" s="32" t="str">
        <x:f>IF(ISNUMBER(R155),IF(ISNUMBER(S155),ROUND(R155-S155,2),S155),R155)</x:f>
      </x:c>
    </x:row>
    <x:row r="156" ht="25" customHeight="1">
      <x:c r="A156" s="16"/>
      <x:c r="B156" s="16"/>
      <x:c r="C156" s="16"/>
      <x:c r="D156" s="16"/>
      <x:c r="E156" s="16"/>
      <x:c r="F156" s="17"/>
      <x:c r="G156" s="18"/>
      <x:c r="H156" s="19"/>
      <x:c r="I156" s="19"/>
      <x:c r="J156" s="16"/>
      <x:c r="K156" s="19"/>
      <x:c r="L156" s="19"/>
      <x:c r="M156" s="19"/>
      <x:c r="N156" s="16"/>
      <x:c r="O156" s="16"/>
      <x:c r="P156" s="16"/>
      <x:c r="Q156" s="32" t="str">
        <x:f>IF(A156="","",IF(ISNUMBER(H156),IF(COUNT(I156,L156,M156)=COUNTA(I156,L156,M156),ROUND(H156-SUM(I156)+SUM(L156)+SUM(M156),2),"Review amounts"),IF(ISBLANK(H156),"","Review amounts")))</x:f>
      </x:c>
      <x:c r="R156" s="32" t="str">
        <x:f>IF(ISNUMBER(Q156),IF(OR(ISBLANK(K156),ISNUMBER(K156)),ROUND(Q156-SUM(K156),2),"Review amounts"),Q156)</x:f>
      </x:c>
      <x:c r="S156" s="32" t="str">
        <x:f>IF(ISNUMBER(R156),IF(COUNTIFS(Allocations!$C$7:$C$206,A156,Allocations!$F$7:$F$206,"Review allocation")&gt;0,"Review allocation",SUMIF(Allocations!$C$7:$C$206,A156,Allocations!$F$7:$F$206)),R156)</x:f>
      </x:c>
      <x:c r="T156" s="32" t="str">
        <x:f>IF(ISNUMBER(R156),IF(ISNUMBER(S156),ROUND(R156-S156,2),S156),R156)</x:f>
      </x:c>
    </x:row>
    <x:row r="157" ht="25" customHeight="1">
      <x:c r="A157" s="16"/>
      <x:c r="B157" s="16"/>
      <x:c r="C157" s="16"/>
      <x:c r="D157" s="16"/>
      <x:c r="E157" s="16"/>
      <x:c r="F157" s="17"/>
      <x:c r="G157" s="18"/>
      <x:c r="H157" s="19"/>
      <x:c r="I157" s="19"/>
      <x:c r="J157" s="16"/>
      <x:c r="K157" s="19"/>
      <x:c r="L157" s="19"/>
      <x:c r="M157" s="19"/>
      <x:c r="N157" s="16"/>
      <x:c r="O157" s="16"/>
      <x:c r="P157" s="16"/>
      <x:c r="Q157" s="32" t="str">
        <x:f>IF(A157="","",IF(ISNUMBER(H157),IF(COUNT(I157,L157,M157)=COUNTA(I157,L157,M157),ROUND(H157-SUM(I157)+SUM(L157)+SUM(M157),2),"Review amounts"),IF(ISBLANK(H157),"","Review amounts")))</x:f>
      </x:c>
      <x:c r="R157" s="32" t="str">
        <x:f>IF(ISNUMBER(Q157),IF(OR(ISBLANK(K157),ISNUMBER(K157)),ROUND(Q157-SUM(K157),2),"Review amounts"),Q157)</x:f>
      </x:c>
      <x:c r="S157" s="32" t="str">
        <x:f>IF(ISNUMBER(R157),IF(COUNTIFS(Allocations!$C$7:$C$206,A157,Allocations!$F$7:$F$206,"Review allocation")&gt;0,"Review allocation",SUMIF(Allocations!$C$7:$C$206,A157,Allocations!$F$7:$F$206)),R157)</x:f>
      </x:c>
      <x:c r="T157" s="32" t="str">
        <x:f>IF(ISNUMBER(R157),IF(ISNUMBER(S157),ROUND(R157-S157,2),S157),R157)</x:f>
      </x:c>
    </x:row>
    <x:row r="158" ht="25" customHeight="1">
      <x:c r="A158" s="16"/>
      <x:c r="B158" s="16"/>
      <x:c r="C158" s="16"/>
      <x:c r="D158" s="16"/>
      <x:c r="E158" s="16"/>
      <x:c r="F158" s="17"/>
      <x:c r="G158" s="18"/>
      <x:c r="H158" s="19"/>
      <x:c r="I158" s="19"/>
      <x:c r="J158" s="16"/>
      <x:c r="K158" s="19"/>
      <x:c r="L158" s="19"/>
      <x:c r="M158" s="19"/>
      <x:c r="N158" s="16"/>
      <x:c r="O158" s="16"/>
      <x:c r="P158" s="16"/>
      <x:c r="Q158" s="32" t="str">
        <x:f>IF(A158="","",IF(ISNUMBER(H158),IF(COUNT(I158,L158,M158)=COUNTA(I158,L158,M158),ROUND(H158-SUM(I158)+SUM(L158)+SUM(M158),2),"Review amounts"),IF(ISBLANK(H158),"","Review amounts")))</x:f>
      </x:c>
      <x:c r="R158" s="32" t="str">
        <x:f>IF(ISNUMBER(Q158),IF(OR(ISBLANK(K158),ISNUMBER(K158)),ROUND(Q158-SUM(K158),2),"Review amounts"),Q158)</x:f>
      </x:c>
      <x:c r="S158" s="32" t="str">
        <x:f>IF(ISNUMBER(R158),IF(COUNTIFS(Allocations!$C$7:$C$206,A158,Allocations!$F$7:$F$206,"Review allocation")&gt;0,"Review allocation",SUMIF(Allocations!$C$7:$C$206,A158,Allocations!$F$7:$F$206)),R158)</x:f>
      </x:c>
      <x:c r="T158" s="32" t="str">
        <x:f>IF(ISNUMBER(R158),IF(ISNUMBER(S158),ROUND(R158-S158,2),S158),R158)</x:f>
      </x:c>
    </x:row>
    <x:row r="159" ht="25" customHeight="1">
      <x:c r="A159" s="16"/>
      <x:c r="B159" s="16"/>
      <x:c r="C159" s="16"/>
      <x:c r="D159" s="16"/>
      <x:c r="E159" s="16"/>
      <x:c r="F159" s="17"/>
      <x:c r="G159" s="18"/>
      <x:c r="H159" s="19"/>
      <x:c r="I159" s="19"/>
      <x:c r="J159" s="16"/>
      <x:c r="K159" s="19"/>
      <x:c r="L159" s="19"/>
      <x:c r="M159" s="19"/>
      <x:c r="N159" s="16"/>
      <x:c r="O159" s="16"/>
      <x:c r="P159" s="16"/>
      <x:c r="Q159" s="32" t="str">
        <x:f>IF(A159="","",IF(ISNUMBER(H159),IF(COUNT(I159,L159,M159)=COUNTA(I159,L159,M159),ROUND(H159-SUM(I159)+SUM(L159)+SUM(M159),2),"Review amounts"),IF(ISBLANK(H159),"","Review amounts")))</x:f>
      </x:c>
      <x:c r="R159" s="32" t="str">
        <x:f>IF(ISNUMBER(Q159),IF(OR(ISBLANK(K159),ISNUMBER(K159)),ROUND(Q159-SUM(K159),2),"Review amounts"),Q159)</x:f>
      </x:c>
      <x:c r="S159" s="32" t="str">
        <x:f>IF(ISNUMBER(R159),IF(COUNTIFS(Allocations!$C$7:$C$206,A159,Allocations!$F$7:$F$206,"Review allocation")&gt;0,"Review allocation",SUMIF(Allocations!$C$7:$C$206,A159,Allocations!$F$7:$F$206)),R159)</x:f>
      </x:c>
      <x:c r="T159" s="32" t="str">
        <x:f>IF(ISNUMBER(R159),IF(ISNUMBER(S159),ROUND(R159-S159,2),S159),R159)</x:f>
      </x:c>
    </x:row>
    <x:row r="160" ht="25" customHeight="1">
      <x:c r="A160" s="16"/>
      <x:c r="B160" s="16"/>
      <x:c r="C160" s="16"/>
      <x:c r="D160" s="16"/>
      <x:c r="E160" s="16"/>
      <x:c r="F160" s="17"/>
      <x:c r="G160" s="18"/>
      <x:c r="H160" s="19"/>
      <x:c r="I160" s="19"/>
      <x:c r="J160" s="16"/>
      <x:c r="K160" s="19"/>
      <x:c r="L160" s="19"/>
      <x:c r="M160" s="19"/>
      <x:c r="N160" s="16"/>
      <x:c r="O160" s="16"/>
      <x:c r="P160" s="16"/>
      <x:c r="Q160" s="32" t="str">
        <x:f>IF(A160="","",IF(ISNUMBER(H160),IF(COUNT(I160,L160,M160)=COUNTA(I160,L160,M160),ROUND(H160-SUM(I160)+SUM(L160)+SUM(M160),2),"Review amounts"),IF(ISBLANK(H160),"","Review amounts")))</x:f>
      </x:c>
      <x:c r="R160" s="32" t="str">
        <x:f>IF(ISNUMBER(Q160),IF(OR(ISBLANK(K160),ISNUMBER(K160)),ROUND(Q160-SUM(K160),2),"Review amounts"),Q160)</x:f>
      </x:c>
      <x:c r="S160" s="32" t="str">
        <x:f>IF(ISNUMBER(R160),IF(COUNTIFS(Allocations!$C$7:$C$206,A160,Allocations!$F$7:$F$206,"Review allocation")&gt;0,"Review allocation",SUMIF(Allocations!$C$7:$C$206,A160,Allocations!$F$7:$F$206)),R160)</x:f>
      </x:c>
      <x:c r="T160" s="32" t="str">
        <x:f>IF(ISNUMBER(R160),IF(ISNUMBER(S160),ROUND(R160-S160,2),S160),R160)</x:f>
      </x:c>
    </x:row>
    <x:row r="161" ht="25" customHeight="1">
      <x:c r="A161" s="16"/>
      <x:c r="B161" s="16"/>
      <x:c r="C161" s="16"/>
      <x:c r="D161" s="16"/>
      <x:c r="E161" s="16"/>
      <x:c r="F161" s="17"/>
      <x:c r="G161" s="18"/>
      <x:c r="H161" s="19"/>
      <x:c r="I161" s="19"/>
      <x:c r="J161" s="16"/>
      <x:c r="K161" s="19"/>
      <x:c r="L161" s="19"/>
      <x:c r="M161" s="19"/>
      <x:c r="N161" s="16"/>
      <x:c r="O161" s="16"/>
      <x:c r="P161" s="16"/>
      <x:c r="Q161" s="32" t="str">
        <x:f>IF(A161="","",IF(ISNUMBER(H161),IF(COUNT(I161,L161,M161)=COUNTA(I161,L161,M161),ROUND(H161-SUM(I161)+SUM(L161)+SUM(M161),2),"Review amounts"),IF(ISBLANK(H161),"","Review amounts")))</x:f>
      </x:c>
      <x:c r="R161" s="32" t="str">
        <x:f>IF(ISNUMBER(Q161),IF(OR(ISBLANK(K161),ISNUMBER(K161)),ROUND(Q161-SUM(K161),2),"Review amounts"),Q161)</x:f>
      </x:c>
      <x:c r="S161" s="32" t="str">
        <x:f>IF(ISNUMBER(R161),IF(COUNTIFS(Allocations!$C$7:$C$206,A161,Allocations!$F$7:$F$206,"Review allocation")&gt;0,"Review allocation",SUMIF(Allocations!$C$7:$C$206,A161,Allocations!$F$7:$F$206)),R161)</x:f>
      </x:c>
      <x:c r="T161" s="32" t="str">
        <x:f>IF(ISNUMBER(R161),IF(ISNUMBER(S161),ROUND(R161-S161,2),S161),R161)</x:f>
      </x:c>
    </x:row>
    <x:row r="162" ht="25" customHeight="1">
      <x:c r="A162" s="16"/>
      <x:c r="B162" s="16"/>
      <x:c r="C162" s="16"/>
      <x:c r="D162" s="16"/>
      <x:c r="E162" s="16"/>
      <x:c r="F162" s="17"/>
      <x:c r="G162" s="18"/>
      <x:c r="H162" s="19"/>
      <x:c r="I162" s="19"/>
      <x:c r="J162" s="16"/>
      <x:c r="K162" s="19"/>
      <x:c r="L162" s="19"/>
      <x:c r="M162" s="19"/>
      <x:c r="N162" s="16"/>
      <x:c r="O162" s="16"/>
      <x:c r="P162" s="16"/>
      <x:c r="Q162" s="32" t="str">
        <x:f>IF(A162="","",IF(ISNUMBER(H162),IF(COUNT(I162,L162,M162)=COUNTA(I162,L162,M162),ROUND(H162-SUM(I162)+SUM(L162)+SUM(M162),2),"Review amounts"),IF(ISBLANK(H162),"","Review amounts")))</x:f>
      </x:c>
      <x:c r="R162" s="32" t="str">
        <x:f>IF(ISNUMBER(Q162),IF(OR(ISBLANK(K162),ISNUMBER(K162)),ROUND(Q162-SUM(K162),2),"Review amounts"),Q162)</x:f>
      </x:c>
      <x:c r="S162" s="32" t="str">
        <x:f>IF(ISNUMBER(R162),IF(COUNTIFS(Allocations!$C$7:$C$206,A162,Allocations!$F$7:$F$206,"Review allocation")&gt;0,"Review allocation",SUMIF(Allocations!$C$7:$C$206,A162,Allocations!$F$7:$F$206)),R162)</x:f>
      </x:c>
      <x:c r="T162" s="32" t="str">
        <x:f>IF(ISNUMBER(R162),IF(ISNUMBER(S162),ROUND(R162-S162,2),S162),R162)</x:f>
      </x:c>
    </x:row>
    <x:row r="163" ht="25" customHeight="1">
      <x:c r="A163" s="16"/>
      <x:c r="B163" s="16"/>
      <x:c r="C163" s="16"/>
      <x:c r="D163" s="16"/>
      <x:c r="E163" s="16"/>
      <x:c r="F163" s="17"/>
      <x:c r="G163" s="18"/>
      <x:c r="H163" s="19"/>
      <x:c r="I163" s="19"/>
      <x:c r="J163" s="16"/>
      <x:c r="K163" s="19"/>
      <x:c r="L163" s="19"/>
      <x:c r="M163" s="19"/>
      <x:c r="N163" s="16"/>
      <x:c r="O163" s="16"/>
      <x:c r="P163" s="16"/>
      <x:c r="Q163" s="32" t="str">
        <x:f>IF(A163="","",IF(ISNUMBER(H163),IF(COUNT(I163,L163,M163)=COUNTA(I163,L163,M163),ROUND(H163-SUM(I163)+SUM(L163)+SUM(M163),2),"Review amounts"),IF(ISBLANK(H163),"","Review amounts")))</x:f>
      </x:c>
      <x:c r="R163" s="32" t="str">
        <x:f>IF(ISNUMBER(Q163),IF(OR(ISBLANK(K163),ISNUMBER(K163)),ROUND(Q163-SUM(K163),2),"Review amounts"),Q163)</x:f>
      </x:c>
      <x:c r="S163" s="32" t="str">
        <x:f>IF(ISNUMBER(R163),IF(COUNTIFS(Allocations!$C$7:$C$206,A163,Allocations!$F$7:$F$206,"Review allocation")&gt;0,"Review allocation",SUMIF(Allocations!$C$7:$C$206,A163,Allocations!$F$7:$F$206)),R163)</x:f>
      </x:c>
      <x:c r="T163" s="32" t="str">
        <x:f>IF(ISNUMBER(R163),IF(ISNUMBER(S163),ROUND(R163-S163,2),S163),R163)</x:f>
      </x:c>
    </x:row>
    <x:row r="164" ht="25" customHeight="1">
      <x:c r="A164" s="16"/>
      <x:c r="B164" s="16"/>
      <x:c r="C164" s="16"/>
      <x:c r="D164" s="16"/>
      <x:c r="E164" s="16"/>
      <x:c r="F164" s="17"/>
      <x:c r="G164" s="18"/>
      <x:c r="H164" s="19"/>
      <x:c r="I164" s="19"/>
      <x:c r="J164" s="16"/>
      <x:c r="K164" s="19"/>
      <x:c r="L164" s="19"/>
      <x:c r="M164" s="19"/>
      <x:c r="N164" s="16"/>
      <x:c r="O164" s="16"/>
      <x:c r="P164" s="16"/>
      <x:c r="Q164" s="32" t="str">
        <x:f>IF(A164="","",IF(ISNUMBER(H164),IF(COUNT(I164,L164,M164)=COUNTA(I164,L164,M164),ROUND(H164-SUM(I164)+SUM(L164)+SUM(M164),2),"Review amounts"),IF(ISBLANK(H164),"","Review amounts")))</x:f>
      </x:c>
      <x:c r="R164" s="32" t="str">
        <x:f>IF(ISNUMBER(Q164),IF(OR(ISBLANK(K164),ISNUMBER(K164)),ROUND(Q164-SUM(K164),2),"Review amounts"),Q164)</x:f>
      </x:c>
      <x:c r="S164" s="32" t="str">
        <x:f>IF(ISNUMBER(R164),IF(COUNTIFS(Allocations!$C$7:$C$206,A164,Allocations!$F$7:$F$206,"Review allocation")&gt;0,"Review allocation",SUMIF(Allocations!$C$7:$C$206,A164,Allocations!$F$7:$F$206)),R164)</x:f>
      </x:c>
      <x:c r="T164" s="32" t="str">
        <x:f>IF(ISNUMBER(R164),IF(ISNUMBER(S164),ROUND(R164-S164,2),S164),R164)</x:f>
      </x:c>
    </x:row>
    <x:row r="165" ht="25" customHeight="1">
      <x:c r="A165" s="16"/>
      <x:c r="B165" s="16"/>
      <x:c r="C165" s="16"/>
      <x:c r="D165" s="16"/>
      <x:c r="E165" s="16"/>
      <x:c r="F165" s="17"/>
      <x:c r="G165" s="18"/>
      <x:c r="H165" s="19"/>
      <x:c r="I165" s="19"/>
      <x:c r="J165" s="16"/>
      <x:c r="K165" s="19"/>
      <x:c r="L165" s="19"/>
      <x:c r="M165" s="19"/>
      <x:c r="N165" s="16"/>
      <x:c r="O165" s="16"/>
      <x:c r="P165" s="16"/>
      <x:c r="Q165" s="32" t="str">
        <x:f>IF(A165="","",IF(ISNUMBER(H165),IF(COUNT(I165,L165,M165)=COUNTA(I165,L165,M165),ROUND(H165-SUM(I165)+SUM(L165)+SUM(M165),2),"Review amounts"),IF(ISBLANK(H165),"","Review amounts")))</x:f>
      </x:c>
      <x:c r="R165" s="32" t="str">
        <x:f>IF(ISNUMBER(Q165),IF(OR(ISBLANK(K165),ISNUMBER(K165)),ROUND(Q165-SUM(K165),2),"Review amounts"),Q165)</x:f>
      </x:c>
      <x:c r="S165" s="32" t="str">
        <x:f>IF(ISNUMBER(R165),IF(COUNTIFS(Allocations!$C$7:$C$206,A165,Allocations!$F$7:$F$206,"Review allocation")&gt;0,"Review allocation",SUMIF(Allocations!$C$7:$C$206,A165,Allocations!$F$7:$F$206)),R165)</x:f>
      </x:c>
      <x:c r="T165" s="32" t="str">
        <x:f>IF(ISNUMBER(R165),IF(ISNUMBER(S165),ROUND(R165-S165,2),S165),R165)</x:f>
      </x:c>
    </x:row>
    <x:row r="166" ht="25" customHeight="1">
      <x:c r="A166" s="16"/>
      <x:c r="B166" s="16"/>
      <x:c r="C166" s="16"/>
      <x:c r="D166" s="16"/>
      <x:c r="E166" s="16"/>
      <x:c r="F166" s="17"/>
      <x:c r="G166" s="18"/>
      <x:c r="H166" s="19"/>
      <x:c r="I166" s="19"/>
      <x:c r="J166" s="16"/>
      <x:c r="K166" s="19"/>
      <x:c r="L166" s="19"/>
      <x:c r="M166" s="19"/>
      <x:c r="N166" s="16"/>
      <x:c r="O166" s="16"/>
      <x:c r="P166" s="16"/>
      <x:c r="Q166" s="32" t="str">
        <x:f>IF(A166="","",IF(ISNUMBER(H166),IF(COUNT(I166,L166,M166)=COUNTA(I166,L166,M166),ROUND(H166-SUM(I166)+SUM(L166)+SUM(M166),2),"Review amounts"),IF(ISBLANK(H166),"","Review amounts")))</x:f>
      </x:c>
      <x:c r="R166" s="32" t="str">
        <x:f>IF(ISNUMBER(Q166),IF(OR(ISBLANK(K166),ISNUMBER(K166)),ROUND(Q166-SUM(K166),2),"Review amounts"),Q166)</x:f>
      </x:c>
      <x:c r="S166" s="32" t="str">
        <x:f>IF(ISNUMBER(R166),IF(COUNTIFS(Allocations!$C$7:$C$206,A166,Allocations!$F$7:$F$206,"Review allocation")&gt;0,"Review allocation",SUMIF(Allocations!$C$7:$C$206,A166,Allocations!$F$7:$F$206)),R166)</x:f>
      </x:c>
      <x:c r="T166" s="32" t="str">
        <x:f>IF(ISNUMBER(R166),IF(ISNUMBER(S166),ROUND(R166-S166,2),S166),R166)</x:f>
      </x:c>
    </x:row>
    <x:row r="167" ht="25" customHeight="1">
      <x:c r="A167" s="16"/>
      <x:c r="B167" s="16"/>
      <x:c r="C167" s="16"/>
      <x:c r="D167" s="16"/>
      <x:c r="E167" s="16"/>
      <x:c r="F167" s="17"/>
      <x:c r="G167" s="18"/>
      <x:c r="H167" s="19"/>
      <x:c r="I167" s="19"/>
      <x:c r="J167" s="16"/>
      <x:c r="K167" s="19"/>
      <x:c r="L167" s="19"/>
      <x:c r="M167" s="19"/>
      <x:c r="N167" s="16"/>
      <x:c r="O167" s="16"/>
      <x:c r="P167" s="16"/>
      <x:c r="Q167" s="32" t="str">
        <x:f>IF(A167="","",IF(ISNUMBER(H167),IF(COUNT(I167,L167,M167)=COUNTA(I167,L167,M167),ROUND(H167-SUM(I167)+SUM(L167)+SUM(M167),2),"Review amounts"),IF(ISBLANK(H167),"","Review amounts")))</x:f>
      </x:c>
      <x:c r="R167" s="32" t="str">
        <x:f>IF(ISNUMBER(Q167),IF(OR(ISBLANK(K167),ISNUMBER(K167)),ROUND(Q167-SUM(K167),2),"Review amounts"),Q167)</x:f>
      </x:c>
      <x:c r="S167" s="32" t="str">
        <x:f>IF(ISNUMBER(R167),IF(COUNTIFS(Allocations!$C$7:$C$206,A167,Allocations!$F$7:$F$206,"Review allocation")&gt;0,"Review allocation",SUMIF(Allocations!$C$7:$C$206,A167,Allocations!$F$7:$F$206)),R167)</x:f>
      </x:c>
      <x:c r="T167" s="32" t="str">
        <x:f>IF(ISNUMBER(R167),IF(ISNUMBER(S167),ROUND(R167-S167,2),S167),R167)</x:f>
      </x:c>
    </x:row>
    <x:row r="168" ht="25" customHeight="1">
      <x:c r="A168" s="16"/>
      <x:c r="B168" s="16"/>
      <x:c r="C168" s="16"/>
      <x:c r="D168" s="16"/>
      <x:c r="E168" s="16"/>
      <x:c r="F168" s="17"/>
      <x:c r="G168" s="18"/>
      <x:c r="H168" s="19"/>
      <x:c r="I168" s="19"/>
      <x:c r="J168" s="16"/>
      <x:c r="K168" s="19"/>
      <x:c r="L168" s="19"/>
      <x:c r="M168" s="19"/>
      <x:c r="N168" s="16"/>
      <x:c r="O168" s="16"/>
      <x:c r="P168" s="16"/>
      <x:c r="Q168" s="32" t="str">
        <x:f>IF(A168="","",IF(ISNUMBER(H168),IF(COUNT(I168,L168,M168)=COUNTA(I168,L168,M168),ROUND(H168-SUM(I168)+SUM(L168)+SUM(M168),2),"Review amounts"),IF(ISBLANK(H168),"","Review amounts")))</x:f>
      </x:c>
      <x:c r="R168" s="32" t="str">
        <x:f>IF(ISNUMBER(Q168),IF(OR(ISBLANK(K168),ISNUMBER(K168)),ROUND(Q168-SUM(K168),2),"Review amounts"),Q168)</x:f>
      </x:c>
      <x:c r="S168" s="32" t="str">
        <x:f>IF(ISNUMBER(R168),IF(COUNTIFS(Allocations!$C$7:$C$206,A168,Allocations!$F$7:$F$206,"Review allocation")&gt;0,"Review allocation",SUMIF(Allocations!$C$7:$C$206,A168,Allocations!$F$7:$F$206)),R168)</x:f>
      </x:c>
      <x:c r="T168" s="32" t="str">
        <x:f>IF(ISNUMBER(R168),IF(ISNUMBER(S168),ROUND(R168-S168,2),S168),R168)</x:f>
      </x:c>
    </x:row>
    <x:row r="169" ht="25" customHeight="1">
      <x:c r="A169" s="16"/>
      <x:c r="B169" s="16"/>
      <x:c r="C169" s="16"/>
      <x:c r="D169" s="16"/>
      <x:c r="E169" s="16"/>
      <x:c r="F169" s="17"/>
      <x:c r="G169" s="18"/>
      <x:c r="H169" s="19"/>
      <x:c r="I169" s="19"/>
      <x:c r="J169" s="16"/>
      <x:c r="K169" s="19"/>
      <x:c r="L169" s="19"/>
      <x:c r="M169" s="19"/>
      <x:c r="N169" s="16"/>
      <x:c r="O169" s="16"/>
      <x:c r="P169" s="16"/>
      <x:c r="Q169" s="32" t="str">
        <x:f>IF(A169="","",IF(ISNUMBER(H169),IF(COUNT(I169,L169,M169)=COUNTA(I169,L169,M169),ROUND(H169-SUM(I169)+SUM(L169)+SUM(M169),2),"Review amounts"),IF(ISBLANK(H169),"","Review amounts")))</x:f>
      </x:c>
      <x:c r="R169" s="32" t="str">
        <x:f>IF(ISNUMBER(Q169),IF(OR(ISBLANK(K169),ISNUMBER(K169)),ROUND(Q169-SUM(K169),2),"Review amounts"),Q169)</x:f>
      </x:c>
      <x:c r="S169" s="32" t="str">
        <x:f>IF(ISNUMBER(R169),IF(COUNTIFS(Allocations!$C$7:$C$206,A169,Allocations!$F$7:$F$206,"Review allocation")&gt;0,"Review allocation",SUMIF(Allocations!$C$7:$C$206,A169,Allocations!$F$7:$F$206)),R169)</x:f>
      </x:c>
      <x:c r="T169" s="32" t="str">
        <x:f>IF(ISNUMBER(R169),IF(ISNUMBER(S169),ROUND(R169-S169,2),S169),R169)</x:f>
      </x:c>
    </x:row>
    <x:row r="170" ht="25" customHeight="1">
      <x:c r="A170" s="16"/>
      <x:c r="B170" s="16"/>
      <x:c r="C170" s="16"/>
      <x:c r="D170" s="16"/>
      <x:c r="E170" s="16"/>
      <x:c r="F170" s="17"/>
      <x:c r="G170" s="18"/>
      <x:c r="H170" s="19"/>
      <x:c r="I170" s="19"/>
      <x:c r="J170" s="16"/>
      <x:c r="K170" s="19"/>
      <x:c r="L170" s="19"/>
      <x:c r="M170" s="19"/>
      <x:c r="N170" s="16"/>
      <x:c r="O170" s="16"/>
      <x:c r="P170" s="16"/>
      <x:c r="Q170" s="32" t="str">
        <x:f>IF(A170="","",IF(ISNUMBER(H170),IF(COUNT(I170,L170,M170)=COUNTA(I170,L170,M170),ROUND(H170-SUM(I170)+SUM(L170)+SUM(M170),2),"Review amounts"),IF(ISBLANK(H170),"","Review amounts")))</x:f>
      </x:c>
      <x:c r="R170" s="32" t="str">
        <x:f>IF(ISNUMBER(Q170),IF(OR(ISBLANK(K170),ISNUMBER(K170)),ROUND(Q170-SUM(K170),2),"Review amounts"),Q170)</x:f>
      </x:c>
      <x:c r="S170" s="32" t="str">
        <x:f>IF(ISNUMBER(R170),IF(COUNTIFS(Allocations!$C$7:$C$206,A170,Allocations!$F$7:$F$206,"Review allocation")&gt;0,"Review allocation",SUMIF(Allocations!$C$7:$C$206,A170,Allocations!$F$7:$F$206)),R170)</x:f>
      </x:c>
      <x:c r="T170" s="32" t="str">
        <x:f>IF(ISNUMBER(R170),IF(ISNUMBER(S170),ROUND(R170-S170,2),S170),R170)</x:f>
      </x:c>
    </x:row>
    <x:row r="171" ht="25" customHeight="1">
      <x:c r="A171" s="16"/>
      <x:c r="B171" s="16"/>
      <x:c r="C171" s="16"/>
      <x:c r="D171" s="16"/>
      <x:c r="E171" s="16"/>
      <x:c r="F171" s="17"/>
      <x:c r="G171" s="18"/>
      <x:c r="H171" s="19"/>
      <x:c r="I171" s="19"/>
      <x:c r="J171" s="16"/>
      <x:c r="K171" s="19"/>
      <x:c r="L171" s="19"/>
      <x:c r="M171" s="19"/>
      <x:c r="N171" s="16"/>
      <x:c r="O171" s="16"/>
      <x:c r="P171" s="16"/>
      <x:c r="Q171" s="32" t="str">
        <x:f>IF(A171="","",IF(ISNUMBER(H171),IF(COUNT(I171,L171,M171)=COUNTA(I171,L171,M171),ROUND(H171-SUM(I171)+SUM(L171)+SUM(M171),2),"Review amounts"),IF(ISBLANK(H171),"","Review amounts")))</x:f>
      </x:c>
      <x:c r="R171" s="32" t="str">
        <x:f>IF(ISNUMBER(Q171),IF(OR(ISBLANK(K171),ISNUMBER(K171)),ROUND(Q171-SUM(K171),2),"Review amounts"),Q171)</x:f>
      </x:c>
      <x:c r="S171" s="32" t="str">
        <x:f>IF(ISNUMBER(R171),IF(COUNTIFS(Allocations!$C$7:$C$206,A171,Allocations!$F$7:$F$206,"Review allocation")&gt;0,"Review allocation",SUMIF(Allocations!$C$7:$C$206,A171,Allocations!$F$7:$F$206)),R171)</x:f>
      </x:c>
      <x:c r="T171" s="32" t="str">
        <x:f>IF(ISNUMBER(R171),IF(ISNUMBER(S171),ROUND(R171-S171,2),S171),R171)</x:f>
      </x:c>
    </x:row>
    <x:row r="172" ht="25" customHeight="1">
      <x:c r="A172" s="16"/>
      <x:c r="B172" s="16"/>
      <x:c r="C172" s="16"/>
      <x:c r="D172" s="16"/>
      <x:c r="E172" s="16"/>
      <x:c r="F172" s="17"/>
      <x:c r="G172" s="18"/>
      <x:c r="H172" s="19"/>
      <x:c r="I172" s="19"/>
      <x:c r="J172" s="16"/>
      <x:c r="K172" s="19"/>
      <x:c r="L172" s="19"/>
      <x:c r="M172" s="19"/>
      <x:c r="N172" s="16"/>
      <x:c r="O172" s="16"/>
      <x:c r="P172" s="16"/>
      <x:c r="Q172" s="32" t="str">
        <x:f>IF(A172="","",IF(ISNUMBER(H172),IF(COUNT(I172,L172,M172)=COUNTA(I172,L172,M172),ROUND(H172-SUM(I172)+SUM(L172)+SUM(M172),2),"Review amounts"),IF(ISBLANK(H172),"","Review amounts")))</x:f>
      </x:c>
      <x:c r="R172" s="32" t="str">
        <x:f>IF(ISNUMBER(Q172),IF(OR(ISBLANK(K172),ISNUMBER(K172)),ROUND(Q172-SUM(K172),2),"Review amounts"),Q172)</x:f>
      </x:c>
      <x:c r="S172" s="32" t="str">
        <x:f>IF(ISNUMBER(R172),IF(COUNTIFS(Allocations!$C$7:$C$206,A172,Allocations!$F$7:$F$206,"Review allocation")&gt;0,"Review allocation",SUMIF(Allocations!$C$7:$C$206,A172,Allocations!$F$7:$F$206)),R172)</x:f>
      </x:c>
      <x:c r="T172" s="32" t="str">
        <x:f>IF(ISNUMBER(R172),IF(ISNUMBER(S172),ROUND(R172-S172,2),S172),R172)</x:f>
      </x:c>
    </x:row>
    <x:row r="173" ht="25" customHeight="1">
      <x:c r="A173" s="16"/>
      <x:c r="B173" s="16"/>
      <x:c r="C173" s="16"/>
      <x:c r="D173" s="16"/>
      <x:c r="E173" s="16"/>
      <x:c r="F173" s="17"/>
      <x:c r="G173" s="18"/>
      <x:c r="H173" s="19"/>
      <x:c r="I173" s="19"/>
      <x:c r="J173" s="16"/>
      <x:c r="K173" s="19"/>
      <x:c r="L173" s="19"/>
      <x:c r="M173" s="19"/>
      <x:c r="N173" s="16"/>
      <x:c r="O173" s="16"/>
      <x:c r="P173" s="16"/>
      <x:c r="Q173" s="32" t="str">
        <x:f>IF(A173="","",IF(ISNUMBER(H173),IF(COUNT(I173,L173,M173)=COUNTA(I173,L173,M173),ROUND(H173-SUM(I173)+SUM(L173)+SUM(M173),2),"Review amounts"),IF(ISBLANK(H173),"","Review amounts")))</x:f>
      </x:c>
      <x:c r="R173" s="32" t="str">
        <x:f>IF(ISNUMBER(Q173),IF(OR(ISBLANK(K173),ISNUMBER(K173)),ROUND(Q173-SUM(K173),2),"Review amounts"),Q173)</x:f>
      </x:c>
      <x:c r="S173" s="32" t="str">
        <x:f>IF(ISNUMBER(R173),IF(COUNTIFS(Allocations!$C$7:$C$206,A173,Allocations!$F$7:$F$206,"Review allocation")&gt;0,"Review allocation",SUMIF(Allocations!$C$7:$C$206,A173,Allocations!$F$7:$F$206)),R173)</x:f>
      </x:c>
      <x:c r="T173" s="32" t="str">
        <x:f>IF(ISNUMBER(R173),IF(ISNUMBER(S173),ROUND(R173-S173,2),S173),R173)</x:f>
      </x:c>
    </x:row>
    <x:row r="174" ht="25" customHeight="1">
      <x:c r="A174" s="16"/>
      <x:c r="B174" s="16"/>
      <x:c r="C174" s="16"/>
      <x:c r="D174" s="16"/>
      <x:c r="E174" s="16"/>
      <x:c r="F174" s="17"/>
      <x:c r="G174" s="18"/>
      <x:c r="H174" s="19"/>
      <x:c r="I174" s="19"/>
      <x:c r="J174" s="16"/>
      <x:c r="K174" s="19"/>
      <x:c r="L174" s="19"/>
      <x:c r="M174" s="19"/>
      <x:c r="N174" s="16"/>
      <x:c r="O174" s="16"/>
      <x:c r="P174" s="16"/>
      <x:c r="Q174" s="32" t="str">
        <x:f>IF(A174="","",IF(ISNUMBER(H174),IF(COUNT(I174,L174,M174)=COUNTA(I174,L174,M174),ROUND(H174-SUM(I174)+SUM(L174)+SUM(M174),2),"Review amounts"),IF(ISBLANK(H174),"","Review amounts")))</x:f>
      </x:c>
      <x:c r="R174" s="32" t="str">
        <x:f>IF(ISNUMBER(Q174),IF(OR(ISBLANK(K174),ISNUMBER(K174)),ROUND(Q174-SUM(K174),2),"Review amounts"),Q174)</x:f>
      </x:c>
      <x:c r="S174" s="32" t="str">
        <x:f>IF(ISNUMBER(R174),IF(COUNTIFS(Allocations!$C$7:$C$206,A174,Allocations!$F$7:$F$206,"Review allocation")&gt;0,"Review allocation",SUMIF(Allocations!$C$7:$C$206,A174,Allocations!$F$7:$F$206)),R174)</x:f>
      </x:c>
      <x:c r="T174" s="32" t="str">
        <x:f>IF(ISNUMBER(R174),IF(ISNUMBER(S174),ROUND(R174-S174,2),S174),R174)</x:f>
      </x:c>
    </x:row>
    <x:row r="175" ht="25" customHeight="1">
      <x:c r="A175" s="16"/>
      <x:c r="B175" s="16"/>
      <x:c r="C175" s="16"/>
      <x:c r="D175" s="16"/>
      <x:c r="E175" s="16"/>
      <x:c r="F175" s="17"/>
      <x:c r="G175" s="18"/>
      <x:c r="H175" s="19"/>
      <x:c r="I175" s="19"/>
      <x:c r="J175" s="16"/>
      <x:c r="K175" s="19"/>
      <x:c r="L175" s="19"/>
      <x:c r="M175" s="19"/>
      <x:c r="N175" s="16"/>
      <x:c r="O175" s="16"/>
      <x:c r="P175" s="16"/>
      <x:c r="Q175" s="32" t="str">
        <x:f>IF(A175="","",IF(ISNUMBER(H175),IF(COUNT(I175,L175,M175)=COUNTA(I175,L175,M175),ROUND(H175-SUM(I175)+SUM(L175)+SUM(M175),2),"Review amounts"),IF(ISBLANK(H175),"","Review amounts")))</x:f>
      </x:c>
      <x:c r="R175" s="32" t="str">
        <x:f>IF(ISNUMBER(Q175),IF(OR(ISBLANK(K175),ISNUMBER(K175)),ROUND(Q175-SUM(K175),2),"Review amounts"),Q175)</x:f>
      </x:c>
      <x:c r="S175" s="32" t="str">
        <x:f>IF(ISNUMBER(R175),IF(COUNTIFS(Allocations!$C$7:$C$206,A175,Allocations!$F$7:$F$206,"Review allocation")&gt;0,"Review allocation",SUMIF(Allocations!$C$7:$C$206,A175,Allocations!$F$7:$F$206)),R175)</x:f>
      </x:c>
      <x:c r="T175" s="32" t="str">
        <x:f>IF(ISNUMBER(R175),IF(ISNUMBER(S175),ROUND(R175-S175,2),S175),R175)</x:f>
      </x:c>
    </x:row>
    <x:row r="176" ht="25" customHeight="1">
      <x:c r="A176" s="16"/>
      <x:c r="B176" s="16"/>
      <x:c r="C176" s="16"/>
      <x:c r="D176" s="16"/>
      <x:c r="E176" s="16"/>
      <x:c r="F176" s="17"/>
      <x:c r="G176" s="18"/>
      <x:c r="H176" s="19"/>
      <x:c r="I176" s="19"/>
      <x:c r="J176" s="16"/>
      <x:c r="K176" s="19"/>
      <x:c r="L176" s="19"/>
      <x:c r="M176" s="19"/>
      <x:c r="N176" s="16"/>
      <x:c r="O176" s="16"/>
      <x:c r="P176" s="16"/>
      <x:c r="Q176" s="32" t="str">
        <x:f>IF(A176="","",IF(ISNUMBER(H176),IF(COUNT(I176,L176,M176)=COUNTA(I176,L176,M176),ROUND(H176-SUM(I176)+SUM(L176)+SUM(M176),2),"Review amounts"),IF(ISBLANK(H176),"","Review amounts")))</x:f>
      </x:c>
      <x:c r="R176" s="32" t="str">
        <x:f>IF(ISNUMBER(Q176),IF(OR(ISBLANK(K176),ISNUMBER(K176)),ROUND(Q176-SUM(K176),2),"Review amounts"),Q176)</x:f>
      </x:c>
      <x:c r="S176" s="32" t="str">
        <x:f>IF(ISNUMBER(R176),IF(COUNTIFS(Allocations!$C$7:$C$206,A176,Allocations!$F$7:$F$206,"Review allocation")&gt;0,"Review allocation",SUMIF(Allocations!$C$7:$C$206,A176,Allocations!$F$7:$F$206)),R176)</x:f>
      </x:c>
      <x:c r="T176" s="32" t="str">
        <x:f>IF(ISNUMBER(R176),IF(ISNUMBER(S176),ROUND(R176-S176,2),S176),R176)</x:f>
      </x:c>
    </x:row>
    <x:row r="177" ht="25" customHeight="1">
      <x:c r="A177" s="16"/>
      <x:c r="B177" s="16"/>
      <x:c r="C177" s="16"/>
      <x:c r="D177" s="16"/>
      <x:c r="E177" s="16"/>
      <x:c r="F177" s="17"/>
      <x:c r="G177" s="18"/>
      <x:c r="H177" s="19"/>
      <x:c r="I177" s="19"/>
      <x:c r="J177" s="16"/>
      <x:c r="K177" s="19"/>
      <x:c r="L177" s="19"/>
      <x:c r="M177" s="19"/>
      <x:c r="N177" s="16"/>
      <x:c r="O177" s="16"/>
      <x:c r="P177" s="16"/>
      <x:c r="Q177" s="32" t="str">
        <x:f>IF(A177="","",IF(ISNUMBER(H177),IF(COUNT(I177,L177,M177)=COUNTA(I177,L177,M177),ROUND(H177-SUM(I177)+SUM(L177)+SUM(M177),2),"Review amounts"),IF(ISBLANK(H177),"","Review amounts")))</x:f>
      </x:c>
      <x:c r="R177" s="32" t="str">
        <x:f>IF(ISNUMBER(Q177),IF(OR(ISBLANK(K177),ISNUMBER(K177)),ROUND(Q177-SUM(K177),2),"Review amounts"),Q177)</x:f>
      </x:c>
      <x:c r="S177" s="32" t="str">
        <x:f>IF(ISNUMBER(R177),IF(COUNTIFS(Allocations!$C$7:$C$206,A177,Allocations!$F$7:$F$206,"Review allocation")&gt;0,"Review allocation",SUMIF(Allocations!$C$7:$C$206,A177,Allocations!$F$7:$F$206)),R177)</x:f>
      </x:c>
      <x:c r="T177" s="32" t="str">
        <x:f>IF(ISNUMBER(R177),IF(ISNUMBER(S177),ROUND(R177-S177,2),S177),R177)</x:f>
      </x:c>
    </x:row>
    <x:row r="178" ht="25" customHeight="1">
      <x:c r="A178" s="16"/>
      <x:c r="B178" s="16"/>
      <x:c r="C178" s="16"/>
      <x:c r="D178" s="16"/>
      <x:c r="E178" s="16"/>
      <x:c r="F178" s="17"/>
      <x:c r="G178" s="18"/>
      <x:c r="H178" s="19"/>
      <x:c r="I178" s="19"/>
      <x:c r="J178" s="16"/>
      <x:c r="K178" s="19"/>
      <x:c r="L178" s="19"/>
      <x:c r="M178" s="19"/>
      <x:c r="N178" s="16"/>
      <x:c r="O178" s="16"/>
      <x:c r="P178" s="16"/>
      <x:c r="Q178" s="32" t="str">
        <x:f>IF(A178="","",IF(ISNUMBER(H178),IF(COUNT(I178,L178,M178)=COUNTA(I178,L178,M178),ROUND(H178-SUM(I178)+SUM(L178)+SUM(M178),2),"Review amounts"),IF(ISBLANK(H178),"","Review amounts")))</x:f>
      </x:c>
      <x:c r="R178" s="32" t="str">
        <x:f>IF(ISNUMBER(Q178),IF(OR(ISBLANK(K178),ISNUMBER(K178)),ROUND(Q178-SUM(K178),2),"Review amounts"),Q178)</x:f>
      </x:c>
      <x:c r="S178" s="32" t="str">
        <x:f>IF(ISNUMBER(R178),IF(COUNTIFS(Allocations!$C$7:$C$206,A178,Allocations!$F$7:$F$206,"Review allocation")&gt;0,"Review allocation",SUMIF(Allocations!$C$7:$C$206,A178,Allocations!$F$7:$F$206)),R178)</x:f>
      </x:c>
      <x:c r="T178" s="32" t="str">
        <x:f>IF(ISNUMBER(R178),IF(ISNUMBER(S178),ROUND(R178-S178,2),S178),R178)</x:f>
      </x:c>
    </x:row>
    <x:row r="179" ht="25" customHeight="1">
      <x:c r="A179" s="16"/>
      <x:c r="B179" s="16"/>
      <x:c r="C179" s="16"/>
      <x:c r="D179" s="16"/>
      <x:c r="E179" s="16"/>
      <x:c r="F179" s="17"/>
      <x:c r="G179" s="18"/>
      <x:c r="H179" s="19"/>
      <x:c r="I179" s="19"/>
      <x:c r="J179" s="16"/>
      <x:c r="K179" s="19"/>
      <x:c r="L179" s="19"/>
      <x:c r="M179" s="19"/>
      <x:c r="N179" s="16"/>
      <x:c r="O179" s="16"/>
      <x:c r="P179" s="16"/>
      <x:c r="Q179" s="32" t="str">
        <x:f>IF(A179="","",IF(ISNUMBER(H179),IF(COUNT(I179,L179,M179)=COUNTA(I179,L179,M179),ROUND(H179-SUM(I179)+SUM(L179)+SUM(M179),2),"Review amounts"),IF(ISBLANK(H179),"","Review amounts")))</x:f>
      </x:c>
      <x:c r="R179" s="32" t="str">
        <x:f>IF(ISNUMBER(Q179),IF(OR(ISBLANK(K179),ISNUMBER(K179)),ROUND(Q179-SUM(K179),2),"Review amounts"),Q179)</x:f>
      </x:c>
      <x:c r="S179" s="32" t="str">
        <x:f>IF(ISNUMBER(R179),IF(COUNTIFS(Allocations!$C$7:$C$206,A179,Allocations!$F$7:$F$206,"Review allocation")&gt;0,"Review allocation",SUMIF(Allocations!$C$7:$C$206,A179,Allocations!$F$7:$F$206)),R179)</x:f>
      </x:c>
      <x:c r="T179" s="32" t="str">
        <x:f>IF(ISNUMBER(R179),IF(ISNUMBER(S179),ROUND(R179-S179,2),S179),R179)</x:f>
      </x:c>
    </x:row>
    <x:row r="180" ht="25" customHeight="1">
      <x:c r="A180" s="16"/>
      <x:c r="B180" s="16"/>
      <x:c r="C180" s="16"/>
      <x:c r="D180" s="16"/>
      <x:c r="E180" s="16"/>
      <x:c r="F180" s="17"/>
      <x:c r="G180" s="18"/>
      <x:c r="H180" s="19"/>
      <x:c r="I180" s="19"/>
      <x:c r="J180" s="16"/>
      <x:c r="K180" s="19"/>
      <x:c r="L180" s="19"/>
      <x:c r="M180" s="19"/>
      <x:c r="N180" s="16"/>
      <x:c r="O180" s="16"/>
      <x:c r="P180" s="16"/>
      <x:c r="Q180" s="32" t="str">
        <x:f>IF(A180="","",IF(ISNUMBER(H180),IF(COUNT(I180,L180,M180)=COUNTA(I180,L180,M180),ROUND(H180-SUM(I180)+SUM(L180)+SUM(M180),2),"Review amounts"),IF(ISBLANK(H180),"","Review amounts")))</x:f>
      </x:c>
      <x:c r="R180" s="32" t="str">
        <x:f>IF(ISNUMBER(Q180),IF(OR(ISBLANK(K180),ISNUMBER(K180)),ROUND(Q180-SUM(K180),2),"Review amounts"),Q180)</x:f>
      </x:c>
      <x:c r="S180" s="32" t="str">
        <x:f>IF(ISNUMBER(R180),IF(COUNTIFS(Allocations!$C$7:$C$206,A180,Allocations!$F$7:$F$206,"Review allocation")&gt;0,"Review allocation",SUMIF(Allocations!$C$7:$C$206,A180,Allocations!$F$7:$F$206)),R180)</x:f>
      </x:c>
      <x:c r="T180" s="32" t="str">
        <x:f>IF(ISNUMBER(R180),IF(ISNUMBER(S180),ROUND(R180-S180,2),S180),R180)</x:f>
      </x:c>
    </x:row>
    <x:row r="181" ht="25" customHeight="1">
      <x:c r="A181" s="16"/>
      <x:c r="B181" s="16"/>
      <x:c r="C181" s="16"/>
      <x:c r="D181" s="16"/>
      <x:c r="E181" s="16"/>
      <x:c r="F181" s="17"/>
      <x:c r="G181" s="18"/>
      <x:c r="H181" s="19"/>
      <x:c r="I181" s="19"/>
      <x:c r="J181" s="16"/>
      <x:c r="K181" s="19"/>
      <x:c r="L181" s="19"/>
      <x:c r="M181" s="19"/>
      <x:c r="N181" s="16"/>
      <x:c r="O181" s="16"/>
      <x:c r="P181" s="16"/>
      <x:c r="Q181" s="32" t="str">
        <x:f>IF(A181="","",IF(ISNUMBER(H181),IF(COUNT(I181,L181,M181)=COUNTA(I181,L181,M181),ROUND(H181-SUM(I181)+SUM(L181)+SUM(M181),2),"Review amounts"),IF(ISBLANK(H181),"","Review amounts")))</x:f>
      </x:c>
      <x:c r="R181" s="32" t="str">
        <x:f>IF(ISNUMBER(Q181),IF(OR(ISBLANK(K181),ISNUMBER(K181)),ROUND(Q181-SUM(K181),2),"Review amounts"),Q181)</x:f>
      </x:c>
      <x:c r="S181" s="32" t="str">
        <x:f>IF(ISNUMBER(R181),IF(COUNTIFS(Allocations!$C$7:$C$206,A181,Allocations!$F$7:$F$206,"Review allocation")&gt;0,"Review allocation",SUMIF(Allocations!$C$7:$C$206,A181,Allocations!$F$7:$F$206)),R181)</x:f>
      </x:c>
      <x:c r="T181" s="32" t="str">
        <x:f>IF(ISNUMBER(R181),IF(ISNUMBER(S181),ROUND(R181-S181,2),S181),R181)</x:f>
      </x:c>
    </x:row>
    <x:row r="182" ht="25" customHeight="1">
      <x:c r="A182" s="16"/>
      <x:c r="B182" s="16"/>
      <x:c r="C182" s="16"/>
      <x:c r="D182" s="16"/>
      <x:c r="E182" s="16"/>
      <x:c r="F182" s="17"/>
      <x:c r="G182" s="18"/>
      <x:c r="H182" s="19"/>
      <x:c r="I182" s="19"/>
      <x:c r="J182" s="16"/>
      <x:c r="K182" s="19"/>
      <x:c r="L182" s="19"/>
      <x:c r="M182" s="19"/>
      <x:c r="N182" s="16"/>
      <x:c r="O182" s="16"/>
      <x:c r="P182" s="16"/>
      <x:c r="Q182" s="32" t="str">
        <x:f>IF(A182="","",IF(ISNUMBER(H182),IF(COUNT(I182,L182,M182)=COUNTA(I182,L182,M182),ROUND(H182-SUM(I182)+SUM(L182)+SUM(M182),2),"Review amounts"),IF(ISBLANK(H182),"","Review amounts")))</x:f>
      </x:c>
      <x:c r="R182" s="32" t="str">
        <x:f>IF(ISNUMBER(Q182),IF(OR(ISBLANK(K182),ISNUMBER(K182)),ROUND(Q182-SUM(K182),2),"Review amounts"),Q182)</x:f>
      </x:c>
      <x:c r="S182" s="32" t="str">
        <x:f>IF(ISNUMBER(R182),IF(COUNTIFS(Allocations!$C$7:$C$206,A182,Allocations!$F$7:$F$206,"Review allocation")&gt;0,"Review allocation",SUMIF(Allocations!$C$7:$C$206,A182,Allocations!$F$7:$F$206)),R182)</x:f>
      </x:c>
      <x:c r="T182" s="32" t="str">
        <x:f>IF(ISNUMBER(R182),IF(ISNUMBER(S182),ROUND(R182-S182,2),S182),R182)</x:f>
      </x:c>
    </x:row>
    <x:row r="183" ht="25" customHeight="1">
      <x:c r="A183" s="16"/>
      <x:c r="B183" s="16"/>
      <x:c r="C183" s="16"/>
      <x:c r="D183" s="16"/>
      <x:c r="E183" s="16"/>
      <x:c r="F183" s="17"/>
      <x:c r="G183" s="18"/>
      <x:c r="H183" s="19"/>
      <x:c r="I183" s="19"/>
      <x:c r="J183" s="16"/>
      <x:c r="K183" s="19"/>
      <x:c r="L183" s="19"/>
      <x:c r="M183" s="19"/>
      <x:c r="N183" s="16"/>
      <x:c r="O183" s="16"/>
      <x:c r="P183" s="16"/>
      <x:c r="Q183" s="32" t="str">
        <x:f>IF(A183="","",IF(ISNUMBER(H183),IF(COUNT(I183,L183,M183)=COUNTA(I183,L183,M183),ROUND(H183-SUM(I183)+SUM(L183)+SUM(M183),2),"Review amounts"),IF(ISBLANK(H183),"","Review amounts")))</x:f>
      </x:c>
      <x:c r="R183" s="32" t="str">
        <x:f>IF(ISNUMBER(Q183),IF(OR(ISBLANK(K183),ISNUMBER(K183)),ROUND(Q183-SUM(K183),2),"Review amounts"),Q183)</x:f>
      </x:c>
      <x:c r="S183" s="32" t="str">
        <x:f>IF(ISNUMBER(R183),IF(COUNTIFS(Allocations!$C$7:$C$206,A183,Allocations!$F$7:$F$206,"Review allocation")&gt;0,"Review allocation",SUMIF(Allocations!$C$7:$C$206,A183,Allocations!$F$7:$F$206)),R183)</x:f>
      </x:c>
      <x:c r="T183" s="32" t="str">
        <x:f>IF(ISNUMBER(R183),IF(ISNUMBER(S183),ROUND(R183-S183,2),S183),R183)</x:f>
      </x:c>
    </x:row>
    <x:row r="184" ht="25" customHeight="1">
      <x:c r="A184" s="16"/>
      <x:c r="B184" s="16"/>
      <x:c r="C184" s="16"/>
      <x:c r="D184" s="16"/>
      <x:c r="E184" s="16"/>
      <x:c r="F184" s="17"/>
      <x:c r="G184" s="18"/>
      <x:c r="H184" s="19"/>
      <x:c r="I184" s="19"/>
      <x:c r="J184" s="16"/>
      <x:c r="K184" s="19"/>
      <x:c r="L184" s="19"/>
      <x:c r="M184" s="19"/>
      <x:c r="N184" s="16"/>
      <x:c r="O184" s="16"/>
      <x:c r="P184" s="16"/>
      <x:c r="Q184" s="32" t="str">
        <x:f>IF(A184="","",IF(ISNUMBER(H184),IF(COUNT(I184,L184,M184)=COUNTA(I184,L184,M184),ROUND(H184-SUM(I184)+SUM(L184)+SUM(M184),2),"Review amounts"),IF(ISBLANK(H184),"","Review amounts")))</x:f>
      </x:c>
      <x:c r="R184" s="32" t="str">
        <x:f>IF(ISNUMBER(Q184),IF(OR(ISBLANK(K184),ISNUMBER(K184)),ROUND(Q184-SUM(K184),2),"Review amounts"),Q184)</x:f>
      </x:c>
      <x:c r="S184" s="32" t="str">
        <x:f>IF(ISNUMBER(R184),IF(COUNTIFS(Allocations!$C$7:$C$206,A184,Allocations!$F$7:$F$206,"Review allocation")&gt;0,"Review allocation",SUMIF(Allocations!$C$7:$C$206,A184,Allocations!$F$7:$F$206)),R184)</x:f>
      </x:c>
      <x:c r="T184" s="32" t="str">
        <x:f>IF(ISNUMBER(R184),IF(ISNUMBER(S184),ROUND(R184-S184,2),S184),R184)</x:f>
      </x:c>
    </x:row>
    <x:row r="185" ht="25" customHeight="1">
      <x:c r="A185" s="16"/>
      <x:c r="B185" s="16"/>
      <x:c r="C185" s="16"/>
      <x:c r="D185" s="16"/>
      <x:c r="E185" s="16"/>
      <x:c r="F185" s="17"/>
      <x:c r="G185" s="18"/>
      <x:c r="H185" s="19"/>
      <x:c r="I185" s="19"/>
      <x:c r="J185" s="16"/>
      <x:c r="K185" s="19"/>
      <x:c r="L185" s="19"/>
      <x:c r="M185" s="19"/>
      <x:c r="N185" s="16"/>
      <x:c r="O185" s="16"/>
      <x:c r="P185" s="16"/>
      <x:c r="Q185" s="32" t="str">
        <x:f>IF(A185="","",IF(ISNUMBER(H185),IF(COUNT(I185,L185,M185)=COUNTA(I185,L185,M185),ROUND(H185-SUM(I185)+SUM(L185)+SUM(M185),2),"Review amounts"),IF(ISBLANK(H185),"","Review amounts")))</x:f>
      </x:c>
      <x:c r="R185" s="32" t="str">
        <x:f>IF(ISNUMBER(Q185),IF(OR(ISBLANK(K185),ISNUMBER(K185)),ROUND(Q185-SUM(K185),2),"Review amounts"),Q185)</x:f>
      </x:c>
      <x:c r="S185" s="32" t="str">
        <x:f>IF(ISNUMBER(R185),IF(COUNTIFS(Allocations!$C$7:$C$206,A185,Allocations!$F$7:$F$206,"Review allocation")&gt;0,"Review allocation",SUMIF(Allocations!$C$7:$C$206,A185,Allocations!$F$7:$F$206)),R185)</x:f>
      </x:c>
      <x:c r="T185" s="32" t="str">
        <x:f>IF(ISNUMBER(R185),IF(ISNUMBER(S185),ROUND(R185-S185,2),S185),R185)</x:f>
      </x:c>
    </x:row>
    <x:row r="186" ht="25" customHeight="1">
      <x:c r="A186" s="16"/>
      <x:c r="B186" s="16"/>
      <x:c r="C186" s="16"/>
      <x:c r="D186" s="16"/>
      <x:c r="E186" s="16"/>
      <x:c r="F186" s="17"/>
      <x:c r="G186" s="18"/>
      <x:c r="H186" s="19"/>
      <x:c r="I186" s="19"/>
      <x:c r="J186" s="16"/>
      <x:c r="K186" s="19"/>
      <x:c r="L186" s="19"/>
      <x:c r="M186" s="19"/>
      <x:c r="N186" s="16"/>
      <x:c r="O186" s="16"/>
      <x:c r="P186" s="16"/>
      <x:c r="Q186" s="32" t="str">
        <x:f>IF(A186="","",IF(ISNUMBER(H186),IF(COUNT(I186,L186,M186)=COUNTA(I186,L186,M186),ROUND(H186-SUM(I186)+SUM(L186)+SUM(M186),2),"Review amounts"),IF(ISBLANK(H186),"","Review amounts")))</x:f>
      </x:c>
      <x:c r="R186" s="32" t="str">
        <x:f>IF(ISNUMBER(Q186),IF(OR(ISBLANK(K186),ISNUMBER(K186)),ROUND(Q186-SUM(K186),2),"Review amounts"),Q186)</x:f>
      </x:c>
      <x:c r="S186" s="32" t="str">
        <x:f>IF(ISNUMBER(R186),IF(COUNTIFS(Allocations!$C$7:$C$206,A186,Allocations!$F$7:$F$206,"Review allocation")&gt;0,"Review allocation",SUMIF(Allocations!$C$7:$C$206,A186,Allocations!$F$7:$F$206)),R186)</x:f>
      </x:c>
      <x:c r="T186" s="32" t="str">
        <x:f>IF(ISNUMBER(R186),IF(ISNUMBER(S186),ROUND(R186-S186,2),S186),R186)</x:f>
      </x:c>
    </x:row>
    <x:row r="187" ht="25" customHeight="1">
      <x:c r="A187" s="16"/>
      <x:c r="B187" s="16"/>
      <x:c r="C187" s="16"/>
      <x:c r="D187" s="16"/>
      <x:c r="E187" s="16"/>
      <x:c r="F187" s="17"/>
      <x:c r="G187" s="18"/>
      <x:c r="H187" s="19"/>
      <x:c r="I187" s="19"/>
      <x:c r="J187" s="16"/>
      <x:c r="K187" s="19"/>
      <x:c r="L187" s="19"/>
      <x:c r="M187" s="19"/>
      <x:c r="N187" s="16"/>
      <x:c r="O187" s="16"/>
      <x:c r="P187" s="16"/>
      <x:c r="Q187" s="32" t="str">
        <x:f>IF(A187="","",IF(ISNUMBER(H187),IF(COUNT(I187,L187,M187)=COUNTA(I187,L187,M187),ROUND(H187-SUM(I187)+SUM(L187)+SUM(M187),2),"Review amounts"),IF(ISBLANK(H187),"","Review amounts")))</x:f>
      </x:c>
      <x:c r="R187" s="32" t="str">
        <x:f>IF(ISNUMBER(Q187),IF(OR(ISBLANK(K187),ISNUMBER(K187)),ROUND(Q187-SUM(K187),2),"Review amounts"),Q187)</x:f>
      </x:c>
      <x:c r="S187" s="32" t="str">
        <x:f>IF(ISNUMBER(R187),IF(COUNTIFS(Allocations!$C$7:$C$206,A187,Allocations!$F$7:$F$206,"Review allocation")&gt;0,"Review allocation",SUMIF(Allocations!$C$7:$C$206,A187,Allocations!$F$7:$F$206)),R187)</x:f>
      </x:c>
      <x:c r="T187" s="32" t="str">
        <x:f>IF(ISNUMBER(R187),IF(ISNUMBER(S187),ROUND(R187-S187,2),S187),R187)</x:f>
      </x:c>
    </x:row>
    <x:row r="188" ht="25" customHeight="1">
      <x:c r="A188" s="16"/>
      <x:c r="B188" s="16"/>
      <x:c r="C188" s="16"/>
      <x:c r="D188" s="16"/>
      <x:c r="E188" s="16"/>
      <x:c r="F188" s="17"/>
      <x:c r="G188" s="18"/>
      <x:c r="H188" s="19"/>
      <x:c r="I188" s="19"/>
      <x:c r="J188" s="16"/>
      <x:c r="K188" s="19"/>
      <x:c r="L188" s="19"/>
      <x:c r="M188" s="19"/>
      <x:c r="N188" s="16"/>
      <x:c r="O188" s="16"/>
      <x:c r="P188" s="16"/>
      <x:c r="Q188" s="32" t="str">
        <x:f>IF(A188="","",IF(ISNUMBER(H188),IF(COUNT(I188,L188,M188)=COUNTA(I188,L188,M188),ROUND(H188-SUM(I188)+SUM(L188)+SUM(M188),2),"Review amounts"),IF(ISBLANK(H188),"","Review amounts")))</x:f>
      </x:c>
      <x:c r="R188" s="32" t="str">
        <x:f>IF(ISNUMBER(Q188),IF(OR(ISBLANK(K188),ISNUMBER(K188)),ROUND(Q188-SUM(K188),2),"Review amounts"),Q188)</x:f>
      </x:c>
      <x:c r="S188" s="32" t="str">
        <x:f>IF(ISNUMBER(R188),IF(COUNTIFS(Allocations!$C$7:$C$206,A188,Allocations!$F$7:$F$206,"Review allocation")&gt;0,"Review allocation",SUMIF(Allocations!$C$7:$C$206,A188,Allocations!$F$7:$F$206)),R188)</x:f>
      </x:c>
      <x:c r="T188" s="32" t="str">
        <x:f>IF(ISNUMBER(R188),IF(ISNUMBER(S188),ROUND(R188-S188,2),S188),R188)</x:f>
      </x:c>
    </x:row>
    <x:row r="189" ht="25" customHeight="1">
      <x:c r="A189" s="16"/>
      <x:c r="B189" s="16"/>
      <x:c r="C189" s="16"/>
      <x:c r="D189" s="16"/>
      <x:c r="E189" s="16"/>
      <x:c r="F189" s="17"/>
      <x:c r="G189" s="18"/>
      <x:c r="H189" s="19"/>
      <x:c r="I189" s="19"/>
      <x:c r="J189" s="16"/>
      <x:c r="K189" s="19"/>
      <x:c r="L189" s="19"/>
      <x:c r="M189" s="19"/>
      <x:c r="N189" s="16"/>
      <x:c r="O189" s="16"/>
      <x:c r="P189" s="16"/>
      <x:c r="Q189" s="32" t="str">
        <x:f>IF(A189="","",IF(ISNUMBER(H189),IF(COUNT(I189,L189,M189)=COUNTA(I189,L189,M189),ROUND(H189-SUM(I189)+SUM(L189)+SUM(M189),2),"Review amounts"),IF(ISBLANK(H189),"","Review amounts")))</x:f>
      </x:c>
      <x:c r="R189" s="32" t="str">
        <x:f>IF(ISNUMBER(Q189),IF(OR(ISBLANK(K189),ISNUMBER(K189)),ROUND(Q189-SUM(K189),2),"Review amounts"),Q189)</x:f>
      </x:c>
      <x:c r="S189" s="32" t="str">
        <x:f>IF(ISNUMBER(R189),IF(COUNTIFS(Allocations!$C$7:$C$206,A189,Allocations!$F$7:$F$206,"Review allocation")&gt;0,"Review allocation",SUMIF(Allocations!$C$7:$C$206,A189,Allocations!$F$7:$F$206)),R189)</x:f>
      </x:c>
      <x:c r="T189" s="32" t="str">
        <x:f>IF(ISNUMBER(R189),IF(ISNUMBER(S189),ROUND(R189-S189,2),S189),R189)</x:f>
      </x:c>
    </x:row>
    <x:row r="190" ht="25" customHeight="1">
      <x:c r="A190" s="16"/>
      <x:c r="B190" s="16"/>
      <x:c r="C190" s="16"/>
      <x:c r="D190" s="16"/>
      <x:c r="E190" s="16"/>
      <x:c r="F190" s="17"/>
      <x:c r="G190" s="18"/>
      <x:c r="H190" s="19"/>
      <x:c r="I190" s="19"/>
      <x:c r="J190" s="16"/>
      <x:c r="K190" s="19"/>
      <x:c r="L190" s="19"/>
      <x:c r="M190" s="19"/>
      <x:c r="N190" s="16"/>
      <x:c r="O190" s="16"/>
      <x:c r="P190" s="16"/>
      <x:c r="Q190" s="32" t="str">
        <x:f>IF(A190="","",IF(ISNUMBER(H190),IF(COUNT(I190,L190,M190)=COUNTA(I190,L190,M190),ROUND(H190-SUM(I190)+SUM(L190)+SUM(M190),2),"Review amounts"),IF(ISBLANK(H190),"","Review amounts")))</x:f>
      </x:c>
      <x:c r="R190" s="32" t="str">
        <x:f>IF(ISNUMBER(Q190),IF(OR(ISBLANK(K190),ISNUMBER(K190)),ROUND(Q190-SUM(K190),2),"Review amounts"),Q190)</x:f>
      </x:c>
      <x:c r="S190" s="32" t="str">
        <x:f>IF(ISNUMBER(R190),IF(COUNTIFS(Allocations!$C$7:$C$206,A190,Allocations!$F$7:$F$206,"Review allocation")&gt;0,"Review allocation",SUMIF(Allocations!$C$7:$C$206,A190,Allocations!$F$7:$F$206)),R190)</x:f>
      </x:c>
      <x:c r="T190" s="32" t="str">
        <x:f>IF(ISNUMBER(R190),IF(ISNUMBER(S190),ROUND(R190-S190,2),S190),R190)</x:f>
      </x:c>
    </x:row>
    <x:row r="191" ht="25" customHeight="1">
      <x:c r="A191" s="16"/>
      <x:c r="B191" s="16"/>
      <x:c r="C191" s="16"/>
      <x:c r="D191" s="16"/>
      <x:c r="E191" s="16"/>
      <x:c r="F191" s="17"/>
      <x:c r="G191" s="18"/>
      <x:c r="H191" s="19"/>
      <x:c r="I191" s="19"/>
      <x:c r="J191" s="16"/>
      <x:c r="K191" s="19"/>
      <x:c r="L191" s="19"/>
      <x:c r="M191" s="19"/>
      <x:c r="N191" s="16"/>
      <x:c r="O191" s="16"/>
      <x:c r="P191" s="16"/>
      <x:c r="Q191" s="32" t="str">
        <x:f>IF(A191="","",IF(ISNUMBER(H191),IF(COUNT(I191,L191,M191)=COUNTA(I191,L191,M191),ROUND(H191-SUM(I191)+SUM(L191)+SUM(M191),2),"Review amounts"),IF(ISBLANK(H191),"","Review amounts")))</x:f>
      </x:c>
      <x:c r="R191" s="32" t="str">
        <x:f>IF(ISNUMBER(Q191),IF(OR(ISBLANK(K191),ISNUMBER(K191)),ROUND(Q191-SUM(K191),2),"Review amounts"),Q191)</x:f>
      </x:c>
      <x:c r="S191" s="32" t="str">
        <x:f>IF(ISNUMBER(R191),IF(COUNTIFS(Allocations!$C$7:$C$206,A191,Allocations!$F$7:$F$206,"Review allocation")&gt;0,"Review allocation",SUMIF(Allocations!$C$7:$C$206,A191,Allocations!$F$7:$F$206)),R191)</x:f>
      </x:c>
      <x:c r="T191" s="32" t="str">
        <x:f>IF(ISNUMBER(R191),IF(ISNUMBER(S191),ROUND(R191-S191,2),S191),R191)</x:f>
      </x:c>
    </x:row>
    <x:row r="192" ht="25" customHeight="1">
      <x:c r="A192" s="16"/>
      <x:c r="B192" s="16"/>
      <x:c r="C192" s="16"/>
      <x:c r="D192" s="16"/>
      <x:c r="E192" s="16"/>
      <x:c r="F192" s="17"/>
      <x:c r="G192" s="18"/>
      <x:c r="H192" s="19"/>
      <x:c r="I192" s="19"/>
      <x:c r="J192" s="16"/>
      <x:c r="K192" s="19"/>
      <x:c r="L192" s="19"/>
      <x:c r="M192" s="19"/>
      <x:c r="N192" s="16"/>
      <x:c r="O192" s="16"/>
      <x:c r="P192" s="16"/>
      <x:c r="Q192" s="32" t="str">
        <x:f>IF(A192="","",IF(ISNUMBER(H192),IF(COUNT(I192,L192,M192)=COUNTA(I192,L192,M192),ROUND(H192-SUM(I192)+SUM(L192)+SUM(M192),2),"Review amounts"),IF(ISBLANK(H192),"","Review amounts")))</x:f>
      </x:c>
      <x:c r="R192" s="32" t="str">
        <x:f>IF(ISNUMBER(Q192),IF(OR(ISBLANK(K192),ISNUMBER(K192)),ROUND(Q192-SUM(K192),2),"Review amounts"),Q192)</x:f>
      </x:c>
      <x:c r="S192" s="32" t="str">
        <x:f>IF(ISNUMBER(R192),IF(COUNTIFS(Allocations!$C$7:$C$206,A192,Allocations!$F$7:$F$206,"Review allocation")&gt;0,"Review allocation",SUMIF(Allocations!$C$7:$C$206,A192,Allocations!$F$7:$F$206)),R192)</x:f>
      </x:c>
      <x:c r="T192" s="32" t="str">
        <x:f>IF(ISNUMBER(R192),IF(ISNUMBER(S192),ROUND(R192-S192,2),S192),R192)</x:f>
      </x:c>
    </x:row>
    <x:row r="193" ht="25" customHeight="1">
      <x:c r="A193" s="16"/>
      <x:c r="B193" s="16"/>
      <x:c r="C193" s="16"/>
      <x:c r="D193" s="16"/>
      <x:c r="E193" s="16"/>
      <x:c r="F193" s="17"/>
      <x:c r="G193" s="18"/>
      <x:c r="H193" s="19"/>
      <x:c r="I193" s="19"/>
      <x:c r="J193" s="16"/>
      <x:c r="K193" s="19"/>
      <x:c r="L193" s="19"/>
      <x:c r="M193" s="19"/>
      <x:c r="N193" s="16"/>
      <x:c r="O193" s="16"/>
      <x:c r="P193" s="16"/>
      <x:c r="Q193" s="32" t="str">
        <x:f>IF(A193="","",IF(ISNUMBER(H193),IF(COUNT(I193,L193,M193)=COUNTA(I193,L193,M193),ROUND(H193-SUM(I193)+SUM(L193)+SUM(M193),2),"Review amounts"),IF(ISBLANK(H193),"","Review amounts")))</x:f>
      </x:c>
      <x:c r="R193" s="32" t="str">
        <x:f>IF(ISNUMBER(Q193),IF(OR(ISBLANK(K193),ISNUMBER(K193)),ROUND(Q193-SUM(K193),2),"Review amounts"),Q193)</x:f>
      </x:c>
      <x:c r="S193" s="32" t="str">
        <x:f>IF(ISNUMBER(R193),IF(COUNTIFS(Allocations!$C$7:$C$206,A193,Allocations!$F$7:$F$206,"Review allocation")&gt;0,"Review allocation",SUMIF(Allocations!$C$7:$C$206,A193,Allocations!$F$7:$F$206)),R193)</x:f>
      </x:c>
      <x:c r="T193" s="32" t="str">
        <x:f>IF(ISNUMBER(R193),IF(ISNUMBER(S193),ROUND(R193-S193,2),S193),R193)</x:f>
      </x:c>
    </x:row>
    <x:row r="194" ht="25" customHeight="1">
      <x:c r="A194" s="16"/>
      <x:c r="B194" s="16"/>
      <x:c r="C194" s="16"/>
      <x:c r="D194" s="16"/>
      <x:c r="E194" s="16"/>
      <x:c r="F194" s="17"/>
      <x:c r="G194" s="18"/>
      <x:c r="H194" s="19"/>
      <x:c r="I194" s="19"/>
      <x:c r="J194" s="16"/>
      <x:c r="K194" s="19"/>
      <x:c r="L194" s="19"/>
      <x:c r="M194" s="19"/>
      <x:c r="N194" s="16"/>
      <x:c r="O194" s="16"/>
      <x:c r="P194" s="16"/>
      <x:c r="Q194" s="32" t="str">
        <x:f>IF(A194="","",IF(ISNUMBER(H194),IF(COUNT(I194,L194,M194)=COUNTA(I194,L194,M194),ROUND(H194-SUM(I194)+SUM(L194)+SUM(M194),2),"Review amounts"),IF(ISBLANK(H194),"","Review amounts")))</x:f>
      </x:c>
      <x:c r="R194" s="32" t="str">
        <x:f>IF(ISNUMBER(Q194),IF(OR(ISBLANK(K194),ISNUMBER(K194)),ROUND(Q194-SUM(K194),2),"Review amounts"),Q194)</x:f>
      </x:c>
      <x:c r="S194" s="32" t="str">
        <x:f>IF(ISNUMBER(R194),IF(COUNTIFS(Allocations!$C$7:$C$206,A194,Allocations!$F$7:$F$206,"Review allocation")&gt;0,"Review allocation",SUMIF(Allocations!$C$7:$C$206,A194,Allocations!$F$7:$F$206)),R194)</x:f>
      </x:c>
      <x:c r="T194" s="32" t="str">
        <x:f>IF(ISNUMBER(R194),IF(ISNUMBER(S194),ROUND(R194-S194,2),S194),R194)</x:f>
      </x:c>
    </x:row>
    <x:row r="195" ht="25" customHeight="1">
      <x:c r="A195" s="16"/>
      <x:c r="B195" s="16"/>
      <x:c r="C195" s="16"/>
      <x:c r="D195" s="16"/>
      <x:c r="E195" s="16"/>
      <x:c r="F195" s="17"/>
      <x:c r="G195" s="18"/>
      <x:c r="H195" s="19"/>
      <x:c r="I195" s="19"/>
      <x:c r="J195" s="16"/>
      <x:c r="K195" s="19"/>
      <x:c r="L195" s="19"/>
      <x:c r="M195" s="19"/>
      <x:c r="N195" s="16"/>
      <x:c r="O195" s="16"/>
      <x:c r="P195" s="16"/>
      <x:c r="Q195" s="32" t="str">
        <x:f>IF(A195="","",IF(ISNUMBER(H195),IF(COUNT(I195,L195,M195)=COUNTA(I195,L195,M195),ROUND(H195-SUM(I195)+SUM(L195)+SUM(M195),2),"Review amounts"),IF(ISBLANK(H195),"","Review amounts")))</x:f>
      </x:c>
      <x:c r="R195" s="32" t="str">
        <x:f>IF(ISNUMBER(Q195),IF(OR(ISBLANK(K195),ISNUMBER(K195)),ROUND(Q195-SUM(K195),2),"Review amounts"),Q195)</x:f>
      </x:c>
      <x:c r="S195" s="32" t="str">
        <x:f>IF(ISNUMBER(R195),IF(COUNTIFS(Allocations!$C$7:$C$206,A195,Allocations!$F$7:$F$206,"Review allocation")&gt;0,"Review allocation",SUMIF(Allocations!$C$7:$C$206,A195,Allocations!$F$7:$F$206)),R195)</x:f>
      </x:c>
      <x:c r="T195" s="32" t="str">
        <x:f>IF(ISNUMBER(R195),IF(ISNUMBER(S195),ROUND(R195-S195,2),S195),R195)</x:f>
      </x:c>
    </x:row>
    <x:row r="196" ht="25" customHeight="1">
      <x:c r="A196" s="16"/>
      <x:c r="B196" s="16"/>
      <x:c r="C196" s="16"/>
      <x:c r="D196" s="16"/>
      <x:c r="E196" s="16"/>
      <x:c r="F196" s="17"/>
      <x:c r="G196" s="18"/>
      <x:c r="H196" s="19"/>
      <x:c r="I196" s="19"/>
      <x:c r="J196" s="16"/>
      <x:c r="K196" s="19"/>
      <x:c r="L196" s="19"/>
      <x:c r="M196" s="19"/>
      <x:c r="N196" s="16"/>
      <x:c r="O196" s="16"/>
      <x:c r="P196" s="16"/>
      <x:c r="Q196" s="32" t="str">
        <x:f>IF(A196="","",IF(ISNUMBER(H196),IF(COUNT(I196,L196,M196)=COUNTA(I196,L196,M196),ROUND(H196-SUM(I196)+SUM(L196)+SUM(M196),2),"Review amounts"),IF(ISBLANK(H196),"","Review amounts")))</x:f>
      </x:c>
      <x:c r="R196" s="32" t="str">
        <x:f>IF(ISNUMBER(Q196),IF(OR(ISBLANK(K196),ISNUMBER(K196)),ROUND(Q196-SUM(K196),2),"Review amounts"),Q196)</x:f>
      </x:c>
      <x:c r="S196" s="32" t="str">
        <x:f>IF(ISNUMBER(R196),IF(COUNTIFS(Allocations!$C$7:$C$206,A196,Allocations!$F$7:$F$206,"Review allocation")&gt;0,"Review allocation",SUMIF(Allocations!$C$7:$C$206,A196,Allocations!$F$7:$F$206)),R196)</x:f>
      </x:c>
      <x:c r="T196" s="32" t="str">
        <x:f>IF(ISNUMBER(R196),IF(ISNUMBER(S196),ROUND(R196-S196,2),S196),R196)</x:f>
      </x:c>
    </x:row>
    <x:row r="197" ht="25" customHeight="1">
      <x:c r="A197" s="16"/>
      <x:c r="B197" s="16"/>
      <x:c r="C197" s="16"/>
      <x:c r="D197" s="16"/>
      <x:c r="E197" s="16"/>
      <x:c r="F197" s="17"/>
      <x:c r="G197" s="18"/>
      <x:c r="H197" s="19"/>
      <x:c r="I197" s="19"/>
      <x:c r="J197" s="16"/>
      <x:c r="K197" s="19"/>
      <x:c r="L197" s="19"/>
      <x:c r="M197" s="19"/>
      <x:c r="N197" s="16"/>
      <x:c r="O197" s="16"/>
      <x:c r="P197" s="16"/>
      <x:c r="Q197" s="32" t="str">
        <x:f>IF(A197="","",IF(ISNUMBER(H197),IF(COUNT(I197,L197,M197)=COUNTA(I197,L197,M197),ROUND(H197-SUM(I197)+SUM(L197)+SUM(M197),2),"Review amounts"),IF(ISBLANK(H197),"","Review amounts")))</x:f>
      </x:c>
      <x:c r="R197" s="32" t="str">
        <x:f>IF(ISNUMBER(Q197),IF(OR(ISBLANK(K197),ISNUMBER(K197)),ROUND(Q197-SUM(K197),2),"Review amounts"),Q197)</x:f>
      </x:c>
      <x:c r="S197" s="32" t="str">
        <x:f>IF(ISNUMBER(R197),IF(COUNTIFS(Allocations!$C$7:$C$206,A197,Allocations!$F$7:$F$206,"Review allocation")&gt;0,"Review allocation",SUMIF(Allocations!$C$7:$C$206,A197,Allocations!$F$7:$F$206)),R197)</x:f>
      </x:c>
      <x:c r="T197" s="32" t="str">
        <x:f>IF(ISNUMBER(R197),IF(ISNUMBER(S197),ROUND(R197-S197,2),S197),R197)</x:f>
      </x:c>
    </x:row>
    <x:row r="198" ht="25" customHeight="1">
      <x:c r="A198" s="16"/>
      <x:c r="B198" s="16"/>
      <x:c r="C198" s="16"/>
      <x:c r="D198" s="16"/>
      <x:c r="E198" s="16"/>
      <x:c r="F198" s="17"/>
      <x:c r="G198" s="18"/>
      <x:c r="H198" s="19"/>
      <x:c r="I198" s="19"/>
      <x:c r="J198" s="16"/>
      <x:c r="K198" s="19"/>
      <x:c r="L198" s="19"/>
      <x:c r="M198" s="19"/>
      <x:c r="N198" s="16"/>
      <x:c r="O198" s="16"/>
      <x:c r="P198" s="16"/>
      <x:c r="Q198" s="32" t="str">
        <x:f>IF(A198="","",IF(ISNUMBER(H198),IF(COUNT(I198,L198,M198)=COUNTA(I198,L198,M198),ROUND(H198-SUM(I198)+SUM(L198)+SUM(M198),2),"Review amounts"),IF(ISBLANK(H198),"","Review amounts")))</x:f>
      </x:c>
      <x:c r="R198" s="32" t="str">
        <x:f>IF(ISNUMBER(Q198),IF(OR(ISBLANK(K198),ISNUMBER(K198)),ROUND(Q198-SUM(K198),2),"Review amounts"),Q198)</x:f>
      </x:c>
      <x:c r="S198" s="32" t="str">
        <x:f>IF(ISNUMBER(R198),IF(COUNTIFS(Allocations!$C$7:$C$206,A198,Allocations!$F$7:$F$206,"Review allocation")&gt;0,"Review allocation",SUMIF(Allocations!$C$7:$C$206,A198,Allocations!$F$7:$F$206)),R198)</x:f>
      </x:c>
      <x:c r="T198" s="32" t="str">
        <x:f>IF(ISNUMBER(R198),IF(ISNUMBER(S198),ROUND(R198-S198,2),S198),R198)</x:f>
      </x:c>
    </x:row>
    <x:row r="199" ht="25" customHeight="1">
      <x:c r="A199" s="16"/>
      <x:c r="B199" s="16"/>
      <x:c r="C199" s="16"/>
      <x:c r="D199" s="16"/>
      <x:c r="E199" s="16"/>
      <x:c r="F199" s="17"/>
      <x:c r="G199" s="18"/>
      <x:c r="H199" s="19"/>
      <x:c r="I199" s="19"/>
      <x:c r="J199" s="16"/>
      <x:c r="K199" s="19"/>
      <x:c r="L199" s="19"/>
      <x:c r="M199" s="19"/>
      <x:c r="N199" s="16"/>
      <x:c r="O199" s="16"/>
      <x:c r="P199" s="16"/>
      <x:c r="Q199" s="32" t="str">
        <x:f>IF(A199="","",IF(ISNUMBER(H199),IF(COUNT(I199,L199,M199)=COUNTA(I199,L199,M199),ROUND(H199-SUM(I199)+SUM(L199)+SUM(M199),2),"Review amounts"),IF(ISBLANK(H199),"","Review amounts")))</x:f>
      </x:c>
      <x:c r="R199" s="32" t="str">
        <x:f>IF(ISNUMBER(Q199),IF(OR(ISBLANK(K199),ISNUMBER(K199)),ROUND(Q199-SUM(K199),2),"Review amounts"),Q199)</x:f>
      </x:c>
      <x:c r="S199" s="32" t="str">
        <x:f>IF(ISNUMBER(R199),IF(COUNTIFS(Allocations!$C$7:$C$206,A199,Allocations!$F$7:$F$206,"Review allocation")&gt;0,"Review allocation",SUMIF(Allocations!$C$7:$C$206,A199,Allocations!$F$7:$F$206)),R199)</x:f>
      </x:c>
      <x:c r="T199" s="32" t="str">
        <x:f>IF(ISNUMBER(R199),IF(ISNUMBER(S199),ROUND(R199-S199,2),S199),R199)</x:f>
      </x:c>
    </x:row>
    <x:row r="200" ht="25" customHeight="1">
      <x:c r="A200" s="16"/>
      <x:c r="B200" s="16"/>
      <x:c r="C200" s="16"/>
      <x:c r="D200" s="16"/>
      <x:c r="E200" s="16"/>
      <x:c r="F200" s="17"/>
      <x:c r="G200" s="18"/>
      <x:c r="H200" s="19"/>
      <x:c r="I200" s="19"/>
      <x:c r="J200" s="16"/>
      <x:c r="K200" s="19"/>
      <x:c r="L200" s="19"/>
      <x:c r="M200" s="19"/>
      <x:c r="N200" s="16"/>
      <x:c r="O200" s="16"/>
      <x:c r="P200" s="16"/>
      <x:c r="Q200" s="32" t="str">
        <x:f>IF(A200="","",IF(ISNUMBER(H200),IF(COUNT(I200,L200,M200)=COUNTA(I200,L200,M200),ROUND(H200-SUM(I200)+SUM(L200)+SUM(M200),2),"Review amounts"),IF(ISBLANK(H200),"","Review amounts")))</x:f>
      </x:c>
      <x:c r="R200" s="32" t="str">
        <x:f>IF(ISNUMBER(Q200),IF(OR(ISBLANK(K200),ISNUMBER(K200)),ROUND(Q200-SUM(K200),2),"Review amounts"),Q200)</x:f>
      </x:c>
      <x:c r="S200" s="32" t="str">
        <x:f>IF(ISNUMBER(R200),IF(COUNTIFS(Allocations!$C$7:$C$206,A200,Allocations!$F$7:$F$206,"Review allocation")&gt;0,"Review allocation",SUMIF(Allocations!$C$7:$C$206,A200,Allocations!$F$7:$F$206)),R200)</x:f>
      </x:c>
      <x:c r="T200" s="32" t="str">
        <x:f>IF(ISNUMBER(R200),IF(ISNUMBER(S200),ROUND(R200-S200,2),S200),R200)</x:f>
      </x:c>
    </x:row>
    <x:row r="201" ht="25" customHeight="1">
      <x:c r="A201" s="16"/>
      <x:c r="B201" s="16"/>
      <x:c r="C201" s="16"/>
      <x:c r="D201" s="16"/>
      <x:c r="E201" s="16"/>
      <x:c r="F201" s="17"/>
      <x:c r="G201" s="18"/>
      <x:c r="H201" s="19"/>
      <x:c r="I201" s="19"/>
      <x:c r="J201" s="16"/>
      <x:c r="K201" s="19"/>
      <x:c r="L201" s="19"/>
      <x:c r="M201" s="19"/>
      <x:c r="N201" s="16"/>
      <x:c r="O201" s="16"/>
      <x:c r="P201" s="16"/>
      <x:c r="Q201" s="32" t="str">
        <x:f>IF(A201="","",IF(ISNUMBER(H201),IF(COUNT(I201,L201,M201)=COUNTA(I201,L201,M201),ROUND(H201-SUM(I201)+SUM(L201)+SUM(M201),2),"Review amounts"),IF(ISBLANK(H201),"","Review amounts")))</x:f>
      </x:c>
      <x:c r="R201" s="32" t="str">
        <x:f>IF(ISNUMBER(Q201),IF(OR(ISBLANK(K201),ISNUMBER(K201)),ROUND(Q201-SUM(K201),2),"Review amounts"),Q201)</x:f>
      </x:c>
      <x:c r="S201" s="32" t="str">
        <x:f>IF(ISNUMBER(R201),IF(COUNTIFS(Allocations!$C$7:$C$206,A201,Allocations!$F$7:$F$206,"Review allocation")&gt;0,"Review allocation",SUMIF(Allocations!$C$7:$C$206,A201,Allocations!$F$7:$F$206)),R201)</x:f>
      </x:c>
      <x:c r="T201" s="32" t="str">
        <x:f>IF(ISNUMBER(R201),IF(ISNUMBER(S201),ROUND(R201-S201,2),S201),R201)</x:f>
      </x:c>
    </x:row>
    <x:row r="202" ht="25" customHeight="1">
      <x:c r="A202" s="16"/>
      <x:c r="B202" s="16"/>
      <x:c r="C202" s="16"/>
      <x:c r="D202" s="16"/>
      <x:c r="E202" s="16"/>
      <x:c r="F202" s="17"/>
      <x:c r="G202" s="18"/>
      <x:c r="H202" s="19"/>
      <x:c r="I202" s="19"/>
      <x:c r="J202" s="16"/>
      <x:c r="K202" s="19"/>
      <x:c r="L202" s="19"/>
      <x:c r="M202" s="19"/>
      <x:c r="N202" s="16"/>
      <x:c r="O202" s="16"/>
      <x:c r="P202" s="16"/>
      <x:c r="Q202" s="32" t="str">
        <x:f>IF(A202="","",IF(ISNUMBER(H202),IF(COUNT(I202,L202,M202)=COUNTA(I202,L202,M202),ROUND(H202-SUM(I202)+SUM(L202)+SUM(M202),2),"Review amounts"),IF(ISBLANK(H202),"","Review amounts")))</x:f>
      </x:c>
      <x:c r="R202" s="32" t="str">
        <x:f>IF(ISNUMBER(Q202),IF(OR(ISBLANK(K202),ISNUMBER(K202)),ROUND(Q202-SUM(K202),2),"Review amounts"),Q202)</x:f>
      </x:c>
      <x:c r="S202" s="32" t="str">
        <x:f>IF(ISNUMBER(R202),IF(COUNTIFS(Allocations!$C$7:$C$206,A202,Allocations!$F$7:$F$206,"Review allocation")&gt;0,"Review allocation",SUMIF(Allocations!$C$7:$C$206,A202,Allocations!$F$7:$F$206)),R202)</x:f>
      </x:c>
      <x:c r="T202" s="32" t="str">
        <x:f>IF(ISNUMBER(R202),IF(ISNUMBER(S202),ROUND(R202-S202,2),S202),R202)</x:f>
      </x:c>
    </x:row>
    <x:row r="203" ht="25" customHeight="1">
      <x:c r="A203" s="16"/>
      <x:c r="B203" s="16"/>
      <x:c r="C203" s="16"/>
      <x:c r="D203" s="16"/>
      <x:c r="E203" s="16"/>
      <x:c r="F203" s="17"/>
      <x:c r="G203" s="18"/>
      <x:c r="H203" s="19"/>
      <x:c r="I203" s="19"/>
      <x:c r="J203" s="16"/>
      <x:c r="K203" s="19"/>
      <x:c r="L203" s="19"/>
      <x:c r="M203" s="19"/>
      <x:c r="N203" s="16"/>
      <x:c r="O203" s="16"/>
      <x:c r="P203" s="16"/>
      <x:c r="Q203" s="32" t="str">
        <x:f>IF(A203="","",IF(ISNUMBER(H203),IF(COUNT(I203,L203,M203)=COUNTA(I203,L203,M203),ROUND(H203-SUM(I203)+SUM(L203)+SUM(M203),2),"Review amounts"),IF(ISBLANK(H203),"","Review amounts")))</x:f>
      </x:c>
      <x:c r="R203" s="32" t="str">
        <x:f>IF(ISNUMBER(Q203),IF(OR(ISBLANK(K203),ISNUMBER(K203)),ROUND(Q203-SUM(K203),2),"Review amounts"),Q203)</x:f>
      </x:c>
      <x:c r="S203" s="32" t="str">
        <x:f>IF(ISNUMBER(R203),IF(COUNTIFS(Allocations!$C$7:$C$206,A203,Allocations!$F$7:$F$206,"Review allocation")&gt;0,"Review allocation",SUMIF(Allocations!$C$7:$C$206,A203,Allocations!$F$7:$F$206)),R203)</x:f>
      </x:c>
      <x:c r="T203" s="32" t="str">
        <x:f>IF(ISNUMBER(R203),IF(ISNUMBER(S203),ROUND(R203-S203,2),S203),R203)</x:f>
      </x:c>
    </x:row>
    <x:row r="204" ht="25" customHeight="1">
      <x:c r="A204" s="16"/>
      <x:c r="B204" s="16"/>
      <x:c r="C204" s="16"/>
      <x:c r="D204" s="16"/>
      <x:c r="E204" s="16"/>
      <x:c r="F204" s="17"/>
      <x:c r="G204" s="18"/>
      <x:c r="H204" s="19"/>
      <x:c r="I204" s="19"/>
      <x:c r="J204" s="16"/>
      <x:c r="K204" s="19"/>
      <x:c r="L204" s="19"/>
      <x:c r="M204" s="19"/>
      <x:c r="N204" s="16"/>
      <x:c r="O204" s="16"/>
      <x:c r="P204" s="16"/>
      <x:c r="Q204" s="32" t="str">
        <x:f>IF(A204="","",IF(ISNUMBER(H204),IF(COUNT(I204,L204,M204)=COUNTA(I204,L204,M204),ROUND(H204-SUM(I204)+SUM(L204)+SUM(M204),2),"Review amounts"),IF(ISBLANK(H204),"","Review amounts")))</x:f>
      </x:c>
      <x:c r="R204" s="32" t="str">
        <x:f>IF(ISNUMBER(Q204),IF(OR(ISBLANK(K204),ISNUMBER(K204)),ROUND(Q204-SUM(K204),2),"Review amounts"),Q204)</x:f>
      </x:c>
      <x:c r="S204" s="32" t="str">
        <x:f>IF(ISNUMBER(R204),IF(COUNTIFS(Allocations!$C$7:$C$206,A204,Allocations!$F$7:$F$206,"Review allocation")&gt;0,"Review allocation",SUMIF(Allocations!$C$7:$C$206,A204,Allocations!$F$7:$F$206)),R204)</x:f>
      </x:c>
      <x:c r="T204" s="32" t="str">
        <x:f>IF(ISNUMBER(R204),IF(ISNUMBER(S204),ROUND(R204-S204,2),S204),R204)</x:f>
      </x:c>
    </x:row>
    <x:row r="205" ht="25" customHeight="1">
      <x:c r="A205" s="16"/>
      <x:c r="B205" s="16"/>
      <x:c r="C205" s="16"/>
      <x:c r="D205" s="16"/>
      <x:c r="E205" s="16"/>
      <x:c r="F205" s="17"/>
      <x:c r="G205" s="18"/>
      <x:c r="H205" s="19"/>
      <x:c r="I205" s="19"/>
      <x:c r="J205" s="16"/>
      <x:c r="K205" s="19"/>
      <x:c r="L205" s="19"/>
      <x:c r="M205" s="19"/>
      <x:c r="N205" s="16"/>
      <x:c r="O205" s="16"/>
      <x:c r="P205" s="16"/>
      <x:c r="Q205" s="32" t="str">
        <x:f>IF(A205="","",IF(ISNUMBER(H205),IF(COUNT(I205,L205,M205)=COUNTA(I205,L205,M205),ROUND(H205-SUM(I205)+SUM(L205)+SUM(M205),2),"Review amounts"),IF(ISBLANK(H205),"","Review amounts")))</x:f>
      </x:c>
      <x:c r="R205" s="32" t="str">
        <x:f>IF(ISNUMBER(Q205),IF(OR(ISBLANK(K205),ISNUMBER(K205)),ROUND(Q205-SUM(K205),2),"Review amounts"),Q205)</x:f>
      </x:c>
      <x:c r="S205" s="32" t="str">
        <x:f>IF(ISNUMBER(R205),IF(COUNTIFS(Allocations!$C$7:$C$206,A205,Allocations!$F$7:$F$206,"Review allocation")&gt;0,"Review allocation",SUMIF(Allocations!$C$7:$C$206,A205,Allocations!$F$7:$F$206)),R205)</x:f>
      </x:c>
      <x:c r="T205" s="32" t="str">
        <x:f>IF(ISNUMBER(R205),IF(ISNUMBER(S205),ROUND(R205-S205,2),S205),R205)</x:f>
      </x:c>
    </x:row>
    <x:row r="206" ht="25" customHeight="1">
      <x:c r="A206" s="20"/>
      <x:c r="B206" s="20"/>
      <x:c r="C206" s="20"/>
      <x:c r="D206" s="20"/>
      <x:c r="E206" s="20"/>
      <x:c r="F206" s="21"/>
      <x:c r="G206" s="22"/>
      <x:c r="H206" s="23"/>
      <x:c r="I206" s="23"/>
      <x:c r="J206" s="20"/>
      <x:c r="K206" s="23"/>
      <x:c r="L206" s="23"/>
      <x:c r="M206" s="23"/>
      <x:c r="N206" s="20"/>
      <x:c r="O206" s="20"/>
      <x:c r="P206" s="20"/>
      <x:c r="Q206" s="33" t="str">
        <x:f>IF(A206="","",IF(ISNUMBER(H206),IF(COUNT(I206,L206,M206)=COUNTA(I206,L206,M206),ROUND(H206-SUM(I206)+SUM(L206)+SUM(M206),2),"Review amounts"),IF(ISBLANK(H206),"","Review amounts")))</x:f>
      </x:c>
      <x:c r="R206" s="33" t="str">
        <x:f>IF(ISNUMBER(Q206),IF(OR(ISBLANK(K206),ISNUMBER(K206)),ROUND(Q206-SUM(K206),2),"Review amounts"),Q206)</x:f>
      </x:c>
      <x:c r="S206" s="33" t="str">
        <x:f>IF(ISNUMBER(R206),IF(COUNTIFS(Allocations!$C$7:$C$206,A206,Allocations!$F$7:$F$206,"Review allocation")&gt;0,"Review allocation",SUMIF(Allocations!$C$7:$C$206,A206,Allocations!$F$7:$F$206)),R206)</x:f>
      </x:c>
      <x:c r="T206" s="33" t="str">
        <x:f>IF(ISNUMBER(R206),IF(ISNUMBER(S206),ROUND(R206-S206,2),S206),R206)</x:f>
      </x:c>
    </x:row>
  </x:sheetData>
  <x:conditionalFormatting sqref="R7:R206">
    <x:cfRule type="cellIs" dxfId="0" priority="1" operator="lessThan">
      <x:formula>0</x:formula>
    </x:cfRule>
  </x:conditionalFormatting>
  <x:conditionalFormatting sqref="T7:T206">
    <x:cfRule type="cellIs" dxfId="1" priority="2" operator="lessThan">
      <x:formula>0</x:formula>
    </x:cfRule>
  </x:conditionalFormatting>
  <x:dataValidations count="6">
    <x:dataValidation type="whole" operator="greaterThan" sqref="F7:F206">
      <x:formula1>0</x:formula1>
    </x:dataValidation>
    <x:dataValidation type="decimal" operator="greaterThanOrEqual" sqref="H7:H206">
      <x:formula1>0</x:formula1>
    </x:dataValidation>
    <x:dataValidation type="decimal" operator="greaterThanOrEqual" sqref="I7:I206">
      <x:formula1>0</x:formula1>
    </x:dataValidation>
    <x:dataValidation type="decimal" operator="greaterThanOrEqual" sqref="K7:K206">
      <x:formula1>0</x:formula1>
    </x:dataValidation>
    <x:dataValidation type="decimal" operator="greaterThanOrEqual" sqref="L7:L206">
      <x:formula1>0</x:formula1>
    </x:dataValidation>
    <x:dataValidation type="decimal" operator="greaterThanOrEqual" sqref="M7:M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448f59427446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4" t="str">
        <x:v>Payments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3" t="str">
        <x:v>One row per payment transaction or historical receipt.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7" t="str">
        <x:v>Identity</x:v>
      </x:c>
      <x:c r="B5" s="7" t="str">
        <x:v>Student</x:v>
      </x:c>
      <x:c r="C5" s="7" t="str">
        <x:v>Payment</x:v>
      </x:c>
      <x:c r="D5" s="7"/>
      <x:c r="E5" s="7"/>
      <x:c r="F5" s="7"/>
      <x:c r="G5" s="7"/>
      <x:c r="H5" s="7"/>
      <x:c r="I5" s="7" t="str">
        <x:v>Receipt</x:v>
      </x:c>
      <x:c r="J5" s="7"/>
      <x:c r="K5" s="7"/>
      <x:c r="L5" s="7" t="str">
        <x:v>Notes</x:v>
      </x:c>
    </x:row>
    <x:row r="6" ht="46" customHeight="1">
      <x:c r="A6" s="28" t="str">
        <x:v>Payment code *</x:v>
      </x:c>
      <x:c r="B6" s="29" t="str">
        <x:v>Student code *</x:v>
      </x:c>
      <x:c r="C6" s="29" t="str">
        <x:v>Payment date *</x:v>
      </x:c>
      <x:c r="D6" s="29" t="str">
        <x:v>Payment amount *</x:v>
      </x:c>
      <x:c r="E6" s="29" t="str">
        <x:v>Currency *</x:v>
      </x:c>
      <x:c r="F6" s="29" t="str">
        <x:v>Payment method *</x:v>
      </x:c>
      <x:c r="G6" s="29" t="str">
        <x:v>Transaction reference</x:v>
      </x:c>
      <x:c r="H6" s="29" t="str">
        <x:v>Payment status *</x:v>
      </x:c>
      <x:c r="I6" s="29" t="str">
        <x:v>Receipt number</x:v>
      </x:c>
      <x:c r="J6" s="29" t="str">
        <x:v>Receipt date</x:v>
      </x:c>
      <x:c r="K6" s="29" t="str">
        <x:v>Received by employee</x:v>
      </x:c>
      <x:c r="L6" s="30" t="str">
        <x:v>Payment notes</x:v>
      </x:c>
    </x:row>
    <x:row r="7" ht="25" customHeight="1">
      <x:c r="A7" s="12"/>
      <x:c r="B7" s="12"/>
      <x:c r="C7" s="14"/>
      <x:c r="D7" s="15"/>
      <x:c r="E7" s="12"/>
      <x:c r="F7" s="12"/>
      <x:c r="G7" s="12"/>
      <x:c r="H7" s="12"/>
      <x:c r="I7" s="12"/>
      <x:c r="J7" s="14"/>
      <x:c r="K7" s="12"/>
      <x:c r="L7" s="12"/>
    </x:row>
    <x:row r="8" ht="25" customHeight="1">
      <x:c r="A8" s="16"/>
      <x:c r="B8" s="16"/>
      <x:c r="C8" s="18"/>
      <x:c r="D8" s="19"/>
      <x:c r="E8" s="16"/>
      <x:c r="F8" s="16"/>
      <x:c r="G8" s="16"/>
      <x:c r="H8" s="16"/>
      <x:c r="I8" s="16"/>
      <x:c r="J8" s="18"/>
      <x:c r="K8" s="16"/>
      <x:c r="L8" s="16"/>
    </x:row>
    <x:row r="9" ht="25" customHeight="1">
      <x:c r="A9" s="16"/>
      <x:c r="B9" s="16"/>
      <x:c r="C9" s="18"/>
      <x:c r="D9" s="19"/>
      <x:c r="E9" s="16"/>
      <x:c r="F9" s="16"/>
      <x:c r="G9" s="16"/>
      <x:c r="H9" s="16"/>
      <x:c r="I9" s="16"/>
      <x:c r="J9" s="18"/>
      <x:c r="K9" s="16"/>
      <x:c r="L9" s="16"/>
    </x:row>
    <x:row r="10" ht="25" customHeight="1">
      <x:c r="A10" s="16"/>
      <x:c r="B10" s="16"/>
      <x:c r="C10" s="18"/>
      <x:c r="D10" s="19"/>
      <x:c r="E10" s="16"/>
      <x:c r="F10" s="16"/>
      <x:c r="G10" s="16"/>
      <x:c r="H10" s="16"/>
      <x:c r="I10" s="16"/>
      <x:c r="J10" s="18"/>
      <x:c r="K10" s="16"/>
      <x:c r="L10" s="16"/>
    </x:row>
    <x:row r="11" ht="25" customHeight="1">
      <x:c r="A11" s="16"/>
      <x:c r="B11" s="16"/>
      <x:c r="C11" s="18"/>
      <x:c r="D11" s="19"/>
      <x:c r="E11" s="16"/>
      <x:c r="F11" s="16"/>
      <x:c r="G11" s="16"/>
      <x:c r="H11" s="16"/>
      <x:c r="I11" s="16"/>
      <x:c r="J11" s="18"/>
      <x:c r="K11" s="16"/>
      <x:c r="L11" s="16"/>
    </x:row>
    <x:row r="12" ht="25" customHeight="1">
      <x:c r="A12" s="16"/>
      <x:c r="B12" s="16"/>
      <x:c r="C12" s="18"/>
      <x:c r="D12" s="19"/>
      <x:c r="E12" s="16"/>
      <x:c r="F12" s="16"/>
      <x:c r="G12" s="16"/>
      <x:c r="H12" s="16"/>
      <x:c r="I12" s="16"/>
      <x:c r="J12" s="18"/>
      <x:c r="K12" s="16"/>
      <x:c r="L12" s="16"/>
    </x:row>
    <x:row r="13" ht="25" customHeight="1">
      <x:c r="A13" s="16"/>
      <x:c r="B13" s="16"/>
      <x:c r="C13" s="18"/>
      <x:c r="D13" s="19"/>
      <x:c r="E13" s="16"/>
      <x:c r="F13" s="16"/>
      <x:c r="G13" s="16"/>
      <x:c r="H13" s="16"/>
      <x:c r="I13" s="16"/>
      <x:c r="J13" s="18"/>
      <x:c r="K13" s="16"/>
      <x:c r="L13" s="16"/>
    </x:row>
    <x:row r="14" ht="25" customHeight="1">
      <x:c r="A14" s="16"/>
      <x:c r="B14" s="16"/>
      <x:c r="C14" s="18"/>
      <x:c r="D14" s="19"/>
      <x:c r="E14" s="16"/>
      <x:c r="F14" s="16"/>
      <x:c r="G14" s="16"/>
      <x:c r="H14" s="16"/>
      <x:c r="I14" s="16"/>
      <x:c r="J14" s="18"/>
      <x:c r="K14" s="16"/>
      <x:c r="L14" s="16"/>
    </x:row>
    <x:row r="15" ht="25" customHeight="1">
      <x:c r="A15" s="16"/>
      <x:c r="B15" s="16"/>
      <x:c r="C15" s="18"/>
      <x:c r="D15" s="19"/>
      <x:c r="E15" s="16"/>
      <x:c r="F15" s="16"/>
      <x:c r="G15" s="16"/>
      <x:c r="H15" s="16"/>
      <x:c r="I15" s="16"/>
      <x:c r="J15" s="18"/>
      <x:c r="K15" s="16"/>
      <x:c r="L15" s="16"/>
    </x:row>
    <x:row r="16" ht="25" customHeight="1">
      <x:c r="A16" s="16"/>
      <x:c r="B16" s="16"/>
      <x:c r="C16" s="18"/>
      <x:c r="D16" s="19"/>
      <x:c r="E16" s="16"/>
      <x:c r="F16" s="16"/>
      <x:c r="G16" s="16"/>
      <x:c r="H16" s="16"/>
      <x:c r="I16" s="16"/>
      <x:c r="J16" s="18"/>
      <x:c r="K16" s="16"/>
      <x:c r="L16" s="16"/>
    </x:row>
    <x:row r="17" ht="25" customHeight="1">
      <x:c r="A17" s="16"/>
      <x:c r="B17" s="16"/>
      <x:c r="C17" s="18"/>
      <x:c r="D17" s="19"/>
      <x:c r="E17" s="16"/>
      <x:c r="F17" s="16"/>
      <x:c r="G17" s="16"/>
      <x:c r="H17" s="16"/>
      <x:c r="I17" s="16"/>
      <x:c r="J17" s="18"/>
      <x:c r="K17" s="16"/>
      <x:c r="L17" s="16"/>
    </x:row>
    <x:row r="18" ht="25" customHeight="1">
      <x:c r="A18" s="16"/>
      <x:c r="B18" s="16"/>
      <x:c r="C18" s="18"/>
      <x:c r="D18" s="19"/>
      <x:c r="E18" s="16"/>
      <x:c r="F18" s="16"/>
      <x:c r="G18" s="16"/>
      <x:c r="H18" s="16"/>
      <x:c r="I18" s="16"/>
      <x:c r="J18" s="18"/>
      <x:c r="K18" s="16"/>
      <x:c r="L18" s="16"/>
    </x:row>
    <x:row r="19" ht="25" customHeight="1">
      <x:c r="A19" s="16"/>
      <x:c r="B19" s="16"/>
      <x:c r="C19" s="18"/>
      <x:c r="D19" s="19"/>
      <x:c r="E19" s="16"/>
      <x:c r="F19" s="16"/>
      <x:c r="G19" s="16"/>
      <x:c r="H19" s="16"/>
      <x:c r="I19" s="16"/>
      <x:c r="J19" s="18"/>
      <x:c r="K19" s="16"/>
      <x:c r="L19" s="16"/>
    </x:row>
    <x:row r="20" ht="25" customHeight="1">
      <x:c r="A20" s="16"/>
      <x:c r="B20" s="16"/>
      <x:c r="C20" s="18"/>
      <x:c r="D20" s="19"/>
      <x:c r="E20" s="16"/>
      <x:c r="F20" s="16"/>
      <x:c r="G20" s="16"/>
      <x:c r="H20" s="16"/>
      <x:c r="I20" s="16"/>
      <x:c r="J20" s="18"/>
      <x:c r="K20" s="16"/>
      <x:c r="L20" s="16"/>
    </x:row>
    <x:row r="21" ht="25" customHeight="1">
      <x:c r="A21" s="16"/>
      <x:c r="B21" s="16"/>
      <x:c r="C21" s="18"/>
      <x:c r="D21" s="19"/>
      <x:c r="E21" s="16"/>
      <x:c r="F21" s="16"/>
      <x:c r="G21" s="16"/>
      <x:c r="H21" s="16"/>
      <x:c r="I21" s="16"/>
      <x:c r="J21" s="18"/>
      <x:c r="K21" s="16"/>
      <x:c r="L21" s="16"/>
    </x:row>
    <x:row r="22" ht="25" customHeight="1">
      <x:c r="A22" s="16"/>
      <x:c r="B22" s="16"/>
      <x:c r="C22" s="18"/>
      <x:c r="D22" s="19"/>
      <x:c r="E22" s="16"/>
      <x:c r="F22" s="16"/>
      <x:c r="G22" s="16"/>
      <x:c r="H22" s="16"/>
      <x:c r="I22" s="16"/>
      <x:c r="J22" s="18"/>
      <x:c r="K22" s="16"/>
      <x:c r="L22" s="16"/>
    </x:row>
    <x:row r="23" ht="25" customHeight="1">
      <x:c r="A23" s="16"/>
      <x:c r="B23" s="16"/>
      <x:c r="C23" s="18"/>
      <x:c r="D23" s="19"/>
      <x:c r="E23" s="16"/>
      <x:c r="F23" s="16"/>
      <x:c r="G23" s="16"/>
      <x:c r="H23" s="16"/>
      <x:c r="I23" s="16"/>
      <x:c r="J23" s="18"/>
      <x:c r="K23" s="16"/>
      <x:c r="L23" s="16"/>
    </x:row>
    <x:row r="24" ht="25" customHeight="1">
      <x:c r="A24" s="16"/>
      <x:c r="B24" s="16"/>
      <x:c r="C24" s="18"/>
      <x:c r="D24" s="19"/>
      <x:c r="E24" s="16"/>
      <x:c r="F24" s="16"/>
      <x:c r="G24" s="16"/>
      <x:c r="H24" s="16"/>
      <x:c r="I24" s="16"/>
      <x:c r="J24" s="18"/>
      <x:c r="K24" s="16"/>
      <x:c r="L24" s="16"/>
    </x:row>
    <x:row r="25" ht="25" customHeight="1">
      <x:c r="A25" s="16"/>
      <x:c r="B25" s="16"/>
      <x:c r="C25" s="18"/>
      <x:c r="D25" s="19"/>
      <x:c r="E25" s="16"/>
      <x:c r="F25" s="16"/>
      <x:c r="G25" s="16"/>
      <x:c r="H25" s="16"/>
      <x:c r="I25" s="16"/>
      <x:c r="J25" s="18"/>
      <x:c r="K25" s="16"/>
      <x:c r="L25" s="16"/>
    </x:row>
    <x:row r="26" ht="25" customHeight="1">
      <x:c r="A26" s="16"/>
      <x:c r="B26" s="16"/>
      <x:c r="C26" s="18"/>
      <x:c r="D26" s="19"/>
      <x:c r="E26" s="16"/>
      <x:c r="F26" s="16"/>
      <x:c r="G26" s="16"/>
      <x:c r="H26" s="16"/>
      <x:c r="I26" s="16"/>
      <x:c r="J26" s="18"/>
      <x:c r="K26" s="16"/>
      <x:c r="L26" s="16"/>
    </x:row>
    <x:row r="27" ht="25" customHeight="1">
      <x:c r="A27" s="16"/>
      <x:c r="B27" s="16"/>
      <x:c r="C27" s="18"/>
      <x:c r="D27" s="19"/>
      <x:c r="E27" s="16"/>
      <x:c r="F27" s="16"/>
      <x:c r="G27" s="16"/>
      <x:c r="H27" s="16"/>
      <x:c r="I27" s="16"/>
      <x:c r="J27" s="18"/>
      <x:c r="K27" s="16"/>
      <x:c r="L27" s="16"/>
    </x:row>
    <x:row r="28" ht="25" customHeight="1">
      <x:c r="A28" s="16"/>
      <x:c r="B28" s="16"/>
      <x:c r="C28" s="18"/>
      <x:c r="D28" s="19"/>
      <x:c r="E28" s="16"/>
      <x:c r="F28" s="16"/>
      <x:c r="G28" s="16"/>
      <x:c r="H28" s="16"/>
      <x:c r="I28" s="16"/>
      <x:c r="J28" s="18"/>
      <x:c r="K28" s="16"/>
      <x:c r="L28" s="16"/>
    </x:row>
    <x:row r="29" ht="25" customHeight="1">
      <x:c r="A29" s="16"/>
      <x:c r="B29" s="16"/>
      <x:c r="C29" s="18"/>
      <x:c r="D29" s="19"/>
      <x:c r="E29" s="16"/>
      <x:c r="F29" s="16"/>
      <x:c r="G29" s="16"/>
      <x:c r="H29" s="16"/>
      <x:c r="I29" s="16"/>
      <x:c r="J29" s="18"/>
      <x:c r="K29" s="16"/>
      <x:c r="L29" s="16"/>
    </x:row>
    <x:row r="30" ht="25" customHeight="1">
      <x:c r="A30" s="16"/>
      <x:c r="B30" s="16"/>
      <x:c r="C30" s="18"/>
      <x:c r="D30" s="19"/>
      <x:c r="E30" s="16"/>
      <x:c r="F30" s="16"/>
      <x:c r="G30" s="16"/>
      <x:c r="H30" s="16"/>
      <x:c r="I30" s="16"/>
      <x:c r="J30" s="18"/>
      <x:c r="K30" s="16"/>
      <x:c r="L30" s="16"/>
    </x:row>
    <x:row r="31" ht="25" customHeight="1">
      <x:c r="A31" s="16"/>
      <x:c r="B31" s="16"/>
      <x:c r="C31" s="18"/>
      <x:c r="D31" s="19"/>
      <x:c r="E31" s="16"/>
      <x:c r="F31" s="16"/>
      <x:c r="G31" s="16"/>
      <x:c r="H31" s="16"/>
      <x:c r="I31" s="16"/>
      <x:c r="J31" s="18"/>
      <x:c r="K31" s="16"/>
      <x:c r="L31" s="16"/>
    </x:row>
    <x:row r="32" ht="25" customHeight="1">
      <x:c r="A32" s="16"/>
      <x:c r="B32" s="16"/>
      <x:c r="C32" s="18"/>
      <x:c r="D32" s="19"/>
      <x:c r="E32" s="16"/>
      <x:c r="F32" s="16"/>
      <x:c r="G32" s="16"/>
      <x:c r="H32" s="16"/>
      <x:c r="I32" s="16"/>
      <x:c r="J32" s="18"/>
      <x:c r="K32" s="16"/>
      <x:c r="L32" s="16"/>
    </x:row>
    <x:row r="33" ht="25" customHeight="1">
      <x:c r="A33" s="16"/>
      <x:c r="B33" s="16"/>
      <x:c r="C33" s="18"/>
      <x:c r="D33" s="19"/>
      <x:c r="E33" s="16"/>
      <x:c r="F33" s="16"/>
      <x:c r="G33" s="16"/>
      <x:c r="H33" s="16"/>
      <x:c r="I33" s="16"/>
      <x:c r="J33" s="18"/>
      <x:c r="K33" s="16"/>
      <x:c r="L33" s="16"/>
    </x:row>
    <x:row r="34" ht="25" customHeight="1">
      <x:c r="A34" s="16"/>
      <x:c r="B34" s="16"/>
      <x:c r="C34" s="18"/>
      <x:c r="D34" s="19"/>
      <x:c r="E34" s="16"/>
      <x:c r="F34" s="16"/>
      <x:c r="G34" s="16"/>
      <x:c r="H34" s="16"/>
      <x:c r="I34" s="16"/>
      <x:c r="J34" s="18"/>
      <x:c r="K34" s="16"/>
      <x:c r="L34" s="16"/>
    </x:row>
    <x:row r="35" ht="25" customHeight="1">
      <x:c r="A35" s="16"/>
      <x:c r="B35" s="16"/>
      <x:c r="C35" s="18"/>
      <x:c r="D35" s="19"/>
      <x:c r="E35" s="16"/>
      <x:c r="F35" s="16"/>
      <x:c r="G35" s="16"/>
      <x:c r="H35" s="16"/>
      <x:c r="I35" s="16"/>
      <x:c r="J35" s="18"/>
      <x:c r="K35" s="16"/>
      <x:c r="L35" s="16"/>
    </x:row>
    <x:row r="36" ht="25" customHeight="1">
      <x:c r="A36" s="16"/>
      <x:c r="B36" s="16"/>
      <x:c r="C36" s="18"/>
      <x:c r="D36" s="19"/>
      <x:c r="E36" s="16"/>
      <x:c r="F36" s="16"/>
      <x:c r="G36" s="16"/>
      <x:c r="H36" s="16"/>
      <x:c r="I36" s="16"/>
      <x:c r="J36" s="18"/>
      <x:c r="K36" s="16"/>
      <x:c r="L36" s="16"/>
    </x:row>
    <x:row r="37" ht="25" customHeight="1">
      <x:c r="A37" s="16"/>
      <x:c r="B37" s="16"/>
      <x:c r="C37" s="18"/>
      <x:c r="D37" s="19"/>
      <x:c r="E37" s="16"/>
      <x:c r="F37" s="16"/>
      <x:c r="G37" s="16"/>
      <x:c r="H37" s="16"/>
      <x:c r="I37" s="16"/>
      <x:c r="J37" s="18"/>
      <x:c r="K37" s="16"/>
      <x:c r="L37" s="16"/>
    </x:row>
    <x:row r="38" ht="25" customHeight="1">
      <x:c r="A38" s="16"/>
      <x:c r="B38" s="16"/>
      <x:c r="C38" s="18"/>
      <x:c r="D38" s="19"/>
      <x:c r="E38" s="16"/>
      <x:c r="F38" s="16"/>
      <x:c r="G38" s="16"/>
      <x:c r="H38" s="16"/>
      <x:c r="I38" s="16"/>
      <x:c r="J38" s="18"/>
      <x:c r="K38" s="16"/>
      <x:c r="L38" s="16"/>
    </x:row>
    <x:row r="39" ht="25" customHeight="1">
      <x:c r="A39" s="16"/>
      <x:c r="B39" s="16"/>
      <x:c r="C39" s="18"/>
      <x:c r="D39" s="19"/>
      <x:c r="E39" s="16"/>
      <x:c r="F39" s="16"/>
      <x:c r="G39" s="16"/>
      <x:c r="H39" s="16"/>
      <x:c r="I39" s="16"/>
      <x:c r="J39" s="18"/>
      <x:c r="K39" s="16"/>
      <x:c r="L39" s="16"/>
    </x:row>
    <x:row r="40" ht="25" customHeight="1">
      <x:c r="A40" s="16"/>
      <x:c r="B40" s="16"/>
      <x:c r="C40" s="18"/>
      <x:c r="D40" s="19"/>
      <x:c r="E40" s="16"/>
      <x:c r="F40" s="16"/>
      <x:c r="G40" s="16"/>
      <x:c r="H40" s="16"/>
      <x:c r="I40" s="16"/>
      <x:c r="J40" s="18"/>
      <x:c r="K40" s="16"/>
      <x:c r="L40" s="16"/>
    </x:row>
    <x:row r="41" ht="25" customHeight="1">
      <x:c r="A41" s="16"/>
      <x:c r="B41" s="16"/>
      <x:c r="C41" s="18"/>
      <x:c r="D41" s="19"/>
      <x:c r="E41" s="16"/>
      <x:c r="F41" s="16"/>
      <x:c r="G41" s="16"/>
      <x:c r="H41" s="16"/>
      <x:c r="I41" s="16"/>
      <x:c r="J41" s="18"/>
      <x:c r="K41" s="16"/>
      <x:c r="L41" s="16"/>
    </x:row>
    <x:row r="42" ht="25" customHeight="1">
      <x:c r="A42" s="16"/>
      <x:c r="B42" s="16"/>
      <x:c r="C42" s="18"/>
      <x:c r="D42" s="19"/>
      <x:c r="E42" s="16"/>
      <x:c r="F42" s="16"/>
      <x:c r="G42" s="16"/>
      <x:c r="H42" s="16"/>
      <x:c r="I42" s="16"/>
      <x:c r="J42" s="18"/>
      <x:c r="K42" s="16"/>
      <x:c r="L42" s="16"/>
    </x:row>
    <x:row r="43" ht="25" customHeight="1">
      <x:c r="A43" s="16"/>
      <x:c r="B43" s="16"/>
      <x:c r="C43" s="18"/>
      <x:c r="D43" s="19"/>
      <x:c r="E43" s="16"/>
      <x:c r="F43" s="16"/>
      <x:c r="G43" s="16"/>
      <x:c r="H43" s="16"/>
      <x:c r="I43" s="16"/>
      <x:c r="J43" s="18"/>
      <x:c r="K43" s="16"/>
      <x:c r="L43" s="16"/>
    </x:row>
    <x:row r="44" ht="25" customHeight="1">
      <x:c r="A44" s="16"/>
      <x:c r="B44" s="16"/>
      <x:c r="C44" s="18"/>
      <x:c r="D44" s="19"/>
      <x:c r="E44" s="16"/>
      <x:c r="F44" s="16"/>
      <x:c r="G44" s="16"/>
      <x:c r="H44" s="16"/>
      <x:c r="I44" s="16"/>
      <x:c r="J44" s="18"/>
      <x:c r="K44" s="16"/>
      <x:c r="L44" s="16"/>
    </x:row>
    <x:row r="45" ht="25" customHeight="1">
      <x:c r="A45" s="16"/>
      <x:c r="B45" s="16"/>
      <x:c r="C45" s="18"/>
      <x:c r="D45" s="19"/>
      <x:c r="E45" s="16"/>
      <x:c r="F45" s="16"/>
      <x:c r="G45" s="16"/>
      <x:c r="H45" s="16"/>
      <x:c r="I45" s="16"/>
      <x:c r="J45" s="18"/>
      <x:c r="K45" s="16"/>
      <x:c r="L45" s="16"/>
    </x:row>
    <x:row r="46" ht="25" customHeight="1">
      <x:c r="A46" s="16"/>
      <x:c r="B46" s="16"/>
      <x:c r="C46" s="18"/>
      <x:c r="D46" s="19"/>
      <x:c r="E46" s="16"/>
      <x:c r="F46" s="16"/>
      <x:c r="G46" s="16"/>
      <x:c r="H46" s="16"/>
      <x:c r="I46" s="16"/>
      <x:c r="J46" s="18"/>
      <x:c r="K46" s="16"/>
      <x:c r="L46" s="16"/>
    </x:row>
    <x:row r="47" ht="25" customHeight="1">
      <x:c r="A47" s="16"/>
      <x:c r="B47" s="16"/>
      <x:c r="C47" s="18"/>
      <x:c r="D47" s="19"/>
      <x:c r="E47" s="16"/>
      <x:c r="F47" s="16"/>
      <x:c r="G47" s="16"/>
      <x:c r="H47" s="16"/>
      <x:c r="I47" s="16"/>
      <x:c r="J47" s="18"/>
      <x:c r="K47" s="16"/>
      <x:c r="L47" s="16"/>
    </x:row>
    <x:row r="48" ht="25" customHeight="1">
      <x:c r="A48" s="16"/>
      <x:c r="B48" s="16"/>
      <x:c r="C48" s="18"/>
      <x:c r="D48" s="19"/>
      <x:c r="E48" s="16"/>
      <x:c r="F48" s="16"/>
      <x:c r="G48" s="16"/>
      <x:c r="H48" s="16"/>
      <x:c r="I48" s="16"/>
      <x:c r="J48" s="18"/>
      <x:c r="K48" s="16"/>
      <x:c r="L48" s="16"/>
    </x:row>
    <x:row r="49" ht="25" customHeight="1">
      <x:c r="A49" s="16"/>
      <x:c r="B49" s="16"/>
      <x:c r="C49" s="18"/>
      <x:c r="D49" s="19"/>
      <x:c r="E49" s="16"/>
      <x:c r="F49" s="16"/>
      <x:c r="G49" s="16"/>
      <x:c r="H49" s="16"/>
      <x:c r="I49" s="16"/>
      <x:c r="J49" s="18"/>
      <x:c r="K49" s="16"/>
      <x:c r="L49" s="16"/>
    </x:row>
    <x:row r="50" ht="25" customHeight="1">
      <x:c r="A50" s="16"/>
      <x:c r="B50" s="16"/>
      <x:c r="C50" s="18"/>
      <x:c r="D50" s="19"/>
      <x:c r="E50" s="16"/>
      <x:c r="F50" s="16"/>
      <x:c r="G50" s="16"/>
      <x:c r="H50" s="16"/>
      <x:c r="I50" s="16"/>
      <x:c r="J50" s="18"/>
      <x:c r="K50" s="16"/>
      <x:c r="L50" s="16"/>
    </x:row>
    <x:row r="51" ht="25" customHeight="1">
      <x:c r="A51" s="16"/>
      <x:c r="B51" s="16"/>
      <x:c r="C51" s="18"/>
      <x:c r="D51" s="19"/>
      <x:c r="E51" s="16"/>
      <x:c r="F51" s="16"/>
      <x:c r="G51" s="16"/>
      <x:c r="H51" s="16"/>
      <x:c r="I51" s="16"/>
      <x:c r="J51" s="18"/>
      <x:c r="K51" s="16"/>
      <x:c r="L51" s="16"/>
    </x:row>
    <x:row r="52" ht="25" customHeight="1">
      <x:c r="A52" s="16"/>
      <x:c r="B52" s="16"/>
      <x:c r="C52" s="18"/>
      <x:c r="D52" s="19"/>
      <x:c r="E52" s="16"/>
      <x:c r="F52" s="16"/>
      <x:c r="G52" s="16"/>
      <x:c r="H52" s="16"/>
      <x:c r="I52" s="16"/>
      <x:c r="J52" s="18"/>
      <x:c r="K52" s="16"/>
      <x:c r="L52" s="16"/>
    </x:row>
    <x:row r="53" ht="25" customHeight="1">
      <x:c r="A53" s="16"/>
      <x:c r="B53" s="16"/>
      <x:c r="C53" s="18"/>
      <x:c r="D53" s="19"/>
      <x:c r="E53" s="16"/>
      <x:c r="F53" s="16"/>
      <x:c r="G53" s="16"/>
      <x:c r="H53" s="16"/>
      <x:c r="I53" s="16"/>
      <x:c r="J53" s="18"/>
      <x:c r="K53" s="16"/>
      <x:c r="L53" s="16"/>
    </x:row>
    <x:row r="54" ht="25" customHeight="1">
      <x:c r="A54" s="16"/>
      <x:c r="B54" s="16"/>
      <x:c r="C54" s="18"/>
      <x:c r="D54" s="19"/>
      <x:c r="E54" s="16"/>
      <x:c r="F54" s="16"/>
      <x:c r="G54" s="16"/>
      <x:c r="H54" s="16"/>
      <x:c r="I54" s="16"/>
      <x:c r="J54" s="18"/>
      <x:c r="K54" s="16"/>
      <x:c r="L54" s="16"/>
    </x:row>
    <x:row r="55" ht="25" customHeight="1">
      <x:c r="A55" s="16"/>
      <x:c r="B55" s="16"/>
      <x:c r="C55" s="18"/>
      <x:c r="D55" s="19"/>
      <x:c r="E55" s="16"/>
      <x:c r="F55" s="16"/>
      <x:c r="G55" s="16"/>
      <x:c r="H55" s="16"/>
      <x:c r="I55" s="16"/>
      <x:c r="J55" s="18"/>
      <x:c r="K55" s="16"/>
      <x:c r="L55" s="16"/>
    </x:row>
    <x:row r="56" ht="25" customHeight="1">
      <x:c r="A56" s="16"/>
      <x:c r="B56" s="16"/>
      <x:c r="C56" s="18"/>
      <x:c r="D56" s="19"/>
      <x:c r="E56" s="16"/>
      <x:c r="F56" s="16"/>
      <x:c r="G56" s="16"/>
      <x:c r="H56" s="16"/>
      <x:c r="I56" s="16"/>
      <x:c r="J56" s="18"/>
      <x:c r="K56" s="16"/>
      <x:c r="L56" s="16"/>
    </x:row>
    <x:row r="57" ht="25" customHeight="1">
      <x:c r="A57" s="16"/>
      <x:c r="B57" s="16"/>
      <x:c r="C57" s="18"/>
      <x:c r="D57" s="19"/>
      <x:c r="E57" s="16"/>
      <x:c r="F57" s="16"/>
      <x:c r="G57" s="16"/>
      <x:c r="H57" s="16"/>
      <x:c r="I57" s="16"/>
      <x:c r="J57" s="18"/>
      <x:c r="K57" s="16"/>
      <x:c r="L57" s="16"/>
    </x:row>
    <x:row r="58" ht="25" customHeight="1">
      <x:c r="A58" s="16"/>
      <x:c r="B58" s="16"/>
      <x:c r="C58" s="18"/>
      <x:c r="D58" s="19"/>
      <x:c r="E58" s="16"/>
      <x:c r="F58" s="16"/>
      <x:c r="G58" s="16"/>
      <x:c r="H58" s="16"/>
      <x:c r="I58" s="16"/>
      <x:c r="J58" s="18"/>
      <x:c r="K58" s="16"/>
      <x:c r="L58" s="16"/>
    </x:row>
    <x:row r="59" ht="25" customHeight="1">
      <x:c r="A59" s="16"/>
      <x:c r="B59" s="16"/>
      <x:c r="C59" s="18"/>
      <x:c r="D59" s="19"/>
      <x:c r="E59" s="16"/>
      <x:c r="F59" s="16"/>
      <x:c r="G59" s="16"/>
      <x:c r="H59" s="16"/>
      <x:c r="I59" s="16"/>
      <x:c r="J59" s="18"/>
      <x:c r="K59" s="16"/>
      <x:c r="L59" s="16"/>
    </x:row>
    <x:row r="60" ht="25" customHeight="1">
      <x:c r="A60" s="16"/>
      <x:c r="B60" s="16"/>
      <x:c r="C60" s="18"/>
      <x:c r="D60" s="19"/>
      <x:c r="E60" s="16"/>
      <x:c r="F60" s="16"/>
      <x:c r="G60" s="16"/>
      <x:c r="H60" s="16"/>
      <x:c r="I60" s="16"/>
      <x:c r="J60" s="18"/>
      <x:c r="K60" s="16"/>
      <x:c r="L60" s="16"/>
    </x:row>
    <x:row r="61" ht="25" customHeight="1">
      <x:c r="A61" s="16"/>
      <x:c r="B61" s="16"/>
      <x:c r="C61" s="18"/>
      <x:c r="D61" s="19"/>
      <x:c r="E61" s="16"/>
      <x:c r="F61" s="16"/>
      <x:c r="G61" s="16"/>
      <x:c r="H61" s="16"/>
      <x:c r="I61" s="16"/>
      <x:c r="J61" s="18"/>
      <x:c r="K61" s="16"/>
      <x:c r="L61" s="16"/>
    </x:row>
    <x:row r="62" ht="25" customHeight="1">
      <x:c r="A62" s="16"/>
      <x:c r="B62" s="16"/>
      <x:c r="C62" s="18"/>
      <x:c r="D62" s="19"/>
      <x:c r="E62" s="16"/>
      <x:c r="F62" s="16"/>
      <x:c r="G62" s="16"/>
      <x:c r="H62" s="16"/>
      <x:c r="I62" s="16"/>
      <x:c r="J62" s="18"/>
      <x:c r="K62" s="16"/>
      <x:c r="L62" s="16"/>
    </x:row>
    <x:row r="63" ht="25" customHeight="1">
      <x:c r="A63" s="16"/>
      <x:c r="B63" s="16"/>
      <x:c r="C63" s="18"/>
      <x:c r="D63" s="19"/>
      <x:c r="E63" s="16"/>
      <x:c r="F63" s="16"/>
      <x:c r="G63" s="16"/>
      <x:c r="H63" s="16"/>
      <x:c r="I63" s="16"/>
      <x:c r="J63" s="18"/>
      <x:c r="K63" s="16"/>
      <x:c r="L63" s="16"/>
    </x:row>
    <x:row r="64" ht="25" customHeight="1">
      <x:c r="A64" s="16"/>
      <x:c r="B64" s="16"/>
      <x:c r="C64" s="18"/>
      <x:c r="D64" s="19"/>
      <x:c r="E64" s="16"/>
      <x:c r="F64" s="16"/>
      <x:c r="G64" s="16"/>
      <x:c r="H64" s="16"/>
      <x:c r="I64" s="16"/>
      <x:c r="J64" s="18"/>
      <x:c r="K64" s="16"/>
      <x:c r="L64" s="16"/>
    </x:row>
    <x:row r="65" ht="25" customHeight="1">
      <x:c r="A65" s="16"/>
      <x:c r="B65" s="16"/>
      <x:c r="C65" s="18"/>
      <x:c r="D65" s="19"/>
      <x:c r="E65" s="16"/>
      <x:c r="F65" s="16"/>
      <x:c r="G65" s="16"/>
      <x:c r="H65" s="16"/>
      <x:c r="I65" s="16"/>
      <x:c r="J65" s="18"/>
      <x:c r="K65" s="16"/>
      <x:c r="L65" s="16"/>
    </x:row>
    <x:row r="66" ht="25" customHeight="1">
      <x:c r="A66" s="16"/>
      <x:c r="B66" s="16"/>
      <x:c r="C66" s="18"/>
      <x:c r="D66" s="19"/>
      <x:c r="E66" s="16"/>
      <x:c r="F66" s="16"/>
      <x:c r="G66" s="16"/>
      <x:c r="H66" s="16"/>
      <x:c r="I66" s="16"/>
      <x:c r="J66" s="18"/>
      <x:c r="K66" s="16"/>
      <x:c r="L66" s="16"/>
    </x:row>
    <x:row r="67" ht="25" customHeight="1">
      <x:c r="A67" s="16"/>
      <x:c r="B67" s="16"/>
      <x:c r="C67" s="18"/>
      <x:c r="D67" s="19"/>
      <x:c r="E67" s="16"/>
      <x:c r="F67" s="16"/>
      <x:c r="G67" s="16"/>
      <x:c r="H67" s="16"/>
      <x:c r="I67" s="16"/>
      <x:c r="J67" s="18"/>
      <x:c r="K67" s="16"/>
      <x:c r="L67" s="16"/>
    </x:row>
    <x:row r="68" ht="25" customHeight="1">
      <x:c r="A68" s="16"/>
      <x:c r="B68" s="16"/>
      <x:c r="C68" s="18"/>
      <x:c r="D68" s="19"/>
      <x:c r="E68" s="16"/>
      <x:c r="F68" s="16"/>
      <x:c r="G68" s="16"/>
      <x:c r="H68" s="16"/>
      <x:c r="I68" s="16"/>
      <x:c r="J68" s="18"/>
      <x:c r="K68" s="16"/>
      <x:c r="L68" s="16"/>
    </x:row>
    <x:row r="69" ht="25" customHeight="1">
      <x:c r="A69" s="16"/>
      <x:c r="B69" s="16"/>
      <x:c r="C69" s="18"/>
      <x:c r="D69" s="19"/>
      <x:c r="E69" s="16"/>
      <x:c r="F69" s="16"/>
      <x:c r="G69" s="16"/>
      <x:c r="H69" s="16"/>
      <x:c r="I69" s="16"/>
      <x:c r="J69" s="18"/>
      <x:c r="K69" s="16"/>
      <x:c r="L69" s="16"/>
    </x:row>
    <x:row r="70" ht="25" customHeight="1">
      <x:c r="A70" s="16"/>
      <x:c r="B70" s="16"/>
      <x:c r="C70" s="18"/>
      <x:c r="D70" s="19"/>
      <x:c r="E70" s="16"/>
      <x:c r="F70" s="16"/>
      <x:c r="G70" s="16"/>
      <x:c r="H70" s="16"/>
      <x:c r="I70" s="16"/>
      <x:c r="J70" s="18"/>
      <x:c r="K70" s="16"/>
      <x:c r="L70" s="16"/>
    </x:row>
    <x:row r="71" ht="25" customHeight="1">
      <x:c r="A71" s="16"/>
      <x:c r="B71" s="16"/>
      <x:c r="C71" s="18"/>
      <x:c r="D71" s="19"/>
      <x:c r="E71" s="16"/>
      <x:c r="F71" s="16"/>
      <x:c r="G71" s="16"/>
      <x:c r="H71" s="16"/>
      <x:c r="I71" s="16"/>
      <x:c r="J71" s="18"/>
      <x:c r="K71" s="16"/>
      <x:c r="L71" s="16"/>
    </x:row>
    <x:row r="72" ht="25" customHeight="1">
      <x:c r="A72" s="16"/>
      <x:c r="B72" s="16"/>
      <x:c r="C72" s="18"/>
      <x:c r="D72" s="19"/>
      <x:c r="E72" s="16"/>
      <x:c r="F72" s="16"/>
      <x:c r="G72" s="16"/>
      <x:c r="H72" s="16"/>
      <x:c r="I72" s="16"/>
      <x:c r="J72" s="18"/>
      <x:c r="K72" s="16"/>
      <x:c r="L72" s="16"/>
    </x:row>
    <x:row r="73" ht="25" customHeight="1">
      <x:c r="A73" s="16"/>
      <x:c r="B73" s="16"/>
      <x:c r="C73" s="18"/>
      <x:c r="D73" s="19"/>
      <x:c r="E73" s="16"/>
      <x:c r="F73" s="16"/>
      <x:c r="G73" s="16"/>
      <x:c r="H73" s="16"/>
      <x:c r="I73" s="16"/>
      <x:c r="J73" s="18"/>
      <x:c r="K73" s="16"/>
      <x:c r="L73" s="16"/>
    </x:row>
    <x:row r="74" ht="25" customHeight="1">
      <x:c r="A74" s="16"/>
      <x:c r="B74" s="16"/>
      <x:c r="C74" s="18"/>
      <x:c r="D74" s="19"/>
      <x:c r="E74" s="16"/>
      <x:c r="F74" s="16"/>
      <x:c r="G74" s="16"/>
      <x:c r="H74" s="16"/>
      <x:c r="I74" s="16"/>
      <x:c r="J74" s="18"/>
      <x:c r="K74" s="16"/>
      <x:c r="L74" s="16"/>
    </x:row>
    <x:row r="75" ht="25" customHeight="1">
      <x:c r="A75" s="16"/>
      <x:c r="B75" s="16"/>
      <x:c r="C75" s="18"/>
      <x:c r="D75" s="19"/>
      <x:c r="E75" s="16"/>
      <x:c r="F75" s="16"/>
      <x:c r="G75" s="16"/>
      <x:c r="H75" s="16"/>
      <x:c r="I75" s="16"/>
      <x:c r="J75" s="18"/>
      <x:c r="K75" s="16"/>
      <x:c r="L75" s="16"/>
    </x:row>
    <x:row r="76" ht="25" customHeight="1">
      <x:c r="A76" s="16"/>
      <x:c r="B76" s="16"/>
      <x:c r="C76" s="18"/>
      <x:c r="D76" s="19"/>
      <x:c r="E76" s="16"/>
      <x:c r="F76" s="16"/>
      <x:c r="G76" s="16"/>
      <x:c r="H76" s="16"/>
      <x:c r="I76" s="16"/>
      <x:c r="J76" s="18"/>
      <x:c r="K76" s="16"/>
      <x:c r="L76" s="16"/>
    </x:row>
    <x:row r="77" ht="25" customHeight="1">
      <x:c r="A77" s="16"/>
      <x:c r="B77" s="16"/>
      <x:c r="C77" s="18"/>
      <x:c r="D77" s="19"/>
      <x:c r="E77" s="16"/>
      <x:c r="F77" s="16"/>
      <x:c r="G77" s="16"/>
      <x:c r="H77" s="16"/>
      <x:c r="I77" s="16"/>
      <x:c r="J77" s="18"/>
      <x:c r="K77" s="16"/>
      <x:c r="L77" s="16"/>
    </x:row>
    <x:row r="78" ht="25" customHeight="1">
      <x:c r="A78" s="16"/>
      <x:c r="B78" s="16"/>
      <x:c r="C78" s="18"/>
      <x:c r="D78" s="19"/>
      <x:c r="E78" s="16"/>
      <x:c r="F78" s="16"/>
      <x:c r="G78" s="16"/>
      <x:c r="H78" s="16"/>
      <x:c r="I78" s="16"/>
      <x:c r="J78" s="18"/>
      <x:c r="K78" s="16"/>
      <x:c r="L78" s="16"/>
    </x:row>
    <x:row r="79" ht="25" customHeight="1">
      <x:c r="A79" s="16"/>
      <x:c r="B79" s="16"/>
      <x:c r="C79" s="18"/>
      <x:c r="D79" s="19"/>
      <x:c r="E79" s="16"/>
      <x:c r="F79" s="16"/>
      <x:c r="G79" s="16"/>
      <x:c r="H79" s="16"/>
      <x:c r="I79" s="16"/>
      <x:c r="J79" s="18"/>
      <x:c r="K79" s="16"/>
      <x:c r="L79" s="16"/>
    </x:row>
    <x:row r="80" ht="25" customHeight="1">
      <x:c r="A80" s="16"/>
      <x:c r="B80" s="16"/>
      <x:c r="C80" s="18"/>
      <x:c r="D80" s="19"/>
      <x:c r="E80" s="16"/>
      <x:c r="F80" s="16"/>
      <x:c r="G80" s="16"/>
      <x:c r="H80" s="16"/>
      <x:c r="I80" s="16"/>
      <x:c r="J80" s="18"/>
      <x:c r="K80" s="16"/>
      <x:c r="L80" s="16"/>
    </x:row>
    <x:row r="81" ht="25" customHeight="1">
      <x:c r="A81" s="16"/>
      <x:c r="B81" s="16"/>
      <x:c r="C81" s="18"/>
      <x:c r="D81" s="19"/>
      <x:c r="E81" s="16"/>
      <x:c r="F81" s="16"/>
      <x:c r="G81" s="16"/>
      <x:c r="H81" s="16"/>
      <x:c r="I81" s="16"/>
      <x:c r="J81" s="18"/>
      <x:c r="K81" s="16"/>
      <x:c r="L81" s="16"/>
    </x:row>
    <x:row r="82" ht="25" customHeight="1">
      <x:c r="A82" s="16"/>
      <x:c r="B82" s="16"/>
      <x:c r="C82" s="18"/>
      <x:c r="D82" s="19"/>
      <x:c r="E82" s="16"/>
      <x:c r="F82" s="16"/>
      <x:c r="G82" s="16"/>
      <x:c r="H82" s="16"/>
      <x:c r="I82" s="16"/>
      <x:c r="J82" s="18"/>
      <x:c r="K82" s="16"/>
      <x:c r="L82" s="16"/>
    </x:row>
    <x:row r="83" ht="25" customHeight="1">
      <x:c r="A83" s="16"/>
      <x:c r="B83" s="16"/>
      <x:c r="C83" s="18"/>
      <x:c r="D83" s="19"/>
      <x:c r="E83" s="16"/>
      <x:c r="F83" s="16"/>
      <x:c r="G83" s="16"/>
      <x:c r="H83" s="16"/>
      <x:c r="I83" s="16"/>
      <x:c r="J83" s="18"/>
      <x:c r="K83" s="16"/>
      <x:c r="L83" s="16"/>
    </x:row>
    <x:row r="84" ht="25" customHeight="1">
      <x:c r="A84" s="16"/>
      <x:c r="B84" s="16"/>
      <x:c r="C84" s="18"/>
      <x:c r="D84" s="19"/>
      <x:c r="E84" s="16"/>
      <x:c r="F84" s="16"/>
      <x:c r="G84" s="16"/>
      <x:c r="H84" s="16"/>
      <x:c r="I84" s="16"/>
      <x:c r="J84" s="18"/>
      <x:c r="K84" s="16"/>
      <x:c r="L84" s="16"/>
    </x:row>
    <x:row r="85" ht="25" customHeight="1">
      <x:c r="A85" s="16"/>
      <x:c r="B85" s="16"/>
      <x:c r="C85" s="18"/>
      <x:c r="D85" s="19"/>
      <x:c r="E85" s="16"/>
      <x:c r="F85" s="16"/>
      <x:c r="G85" s="16"/>
      <x:c r="H85" s="16"/>
      <x:c r="I85" s="16"/>
      <x:c r="J85" s="18"/>
      <x:c r="K85" s="16"/>
      <x:c r="L85" s="16"/>
    </x:row>
    <x:row r="86" ht="25" customHeight="1">
      <x:c r="A86" s="16"/>
      <x:c r="B86" s="16"/>
      <x:c r="C86" s="18"/>
      <x:c r="D86" s="19"/>
      <x:c r="E86" s="16"/>
      <x:c r="F86" s="16"/>
      <x:c r="G86" s="16"/>
      <x:c r="H86" s="16"/>
      <x:c r="I86" s="16"/>
      <x:c r="J86" s="18"/>
      <x:c r="K86" s="16"/>
      <x:c r="L86" s="16"/>
    </x:row>
    <x:row r="87" ht="25" customHeight="1">
      <x:c r="A87" s="16"/>
      <x:c r="B87" s="16"/>
      <x:c r="C87" s="18"/>
      <x:c r="D87" s="19"/>
      <x:c r="E87" s="16"/>
      <x:c r="F87" s="16"/>
      <x:c r="G87" s="16"/>
      <x:c r="H87" s="16"/>
      <x:c r="I87" s="16"/>
      <x:c r="J87" s="18"/>
      <x:c r="K87" s="16"/>
      <x:c r="L87" s="16"/>
    </x:row>
    <x:row r="88" ht="25" customHeight="1">
      <x:c r="A88" s="16"/>
      <x:c r="B88" s="16"/>
      <x:c r="C88" s="18"/>
      <x:c r="D88" s="19"/>
      <x:c r="E88" s="16"/>
      <x:c r="F88" s="16"/>
      <x:c r="G88" s="16"/>
      <x:c r="H88" s="16"/>
      <x:c r="I88" s="16"/>
      <x:c r="J88" s="18"/>
      <x:c r="K88" s="16"/>
      <x:c r="L88" s="16"/>
    </x:row>
    <x:row r="89" ht="25" customHeight="1">
      <x:c r="A89" s="16"/>
      <x:c r="B89" s="16"/>
      <x:c r="C89" s="18"/>
      <x:c r="D89" s="19"/>
      <x:c r="E89" s="16"/>
      <x:c r="F89" s="16"/>
      <x:c r="G89" s="16"/>
      <x:c r="H89" s="16"/>
      <x:c r="I89" s="16"/>
      <x:c r="J89" s="18"/>
      <x:c r="K89" s="16"/>
      <x:c r="L89" s="16"/>
    </x:row>
    <x:row r="90" ht="25" customHeight="1">
      <x:c r="A90" s="16"/>
      <x:c r="B90" s="16"/>
      <x:c r="C90" s="18"/>
      <x:c r="D90" s="19"/>
      <x:c r="E90" s="16"/>
      <x:c r="F90" s="16"/>
      <x:c r="G90" s="16"/>
      <x:c r="H90" s="16"/>
      <x:c r="I90" s="16"/>
      <x:c r="J90" s="18"/>
      <x:c r="K90" s="16"/>
      <x:c r="L90" s="16"/>
    </x:row>
    <x:row r="91" ht="25" customHeight="1">
      <x:c r="A91" s="16"/>
      <x:c r="B91" s="16"/>
      <x:c r="C91" s="18"/>
      <x:c r="D91" s="19"/>
      <x:c r="E91" s="16"/>
      <x:c r="F91" s="16"/>
      <x:c r="G91" s="16"/>
      <x:c r="H91" s="16"/>
      <x:c r="I91" s="16"/>
      <x:c r="J91" s="18"/>
      <x:c r="K91" s="16"/>
      <x:c r="L91" s="16"/>
    </x:row>
    <x:row r="92" ht="25" customHeight="1">
      <x:c r="A92" s="16"/>
      <x:c r="B92" s="16"/>
      <x:c r="C92" s="18"/>
      <x:c r="D92" s="19"/>
      <x:c r="E92" s="16"/>
      <x:c r="F92" s="16"/>
      <x:c r="G92" s="16"/>
      <x:c r="H92" s="16"/>
      <x:c r="I92" s="16"/>
      <x:c r="J92" s="18"/>
      <x:c r="K92" s="16"/>
      <x:c r="L92" s="16"/>
    </x:row>
    <x:row r="93" ht="25" customHeight="1">
      <x:c r="A93" s="16"/>
      <x:c r="B93" s="16"/>
      <x:c r="C93" s="18"/>
      <x:c r="D93" s="19"/>
      <x:c r="E93" s="16"/>
      <x:c r="F93" s="16"/>
      <x:c r="G93" s="16"/>
      <x:c r="H93" s="16"/>
      <x:c r="I93" s="16"/>
      <x:c r="J93" s="18"/>
      <x:c r="K93" s="16"/>
      <x:c r="L93" s="16"/>
    </x:row>
    <x:row r="94" ht="25" customHeight="1">
      <x:c r="A94" s="16"/>
      <x:c r="B94" s="16"/>
      <x:c r="C94" s="18"/>
      <x:c r="D94" s="19"/>
      <x:c r="E94" s="16"/>
      <x:c r="F94" s="16"/>
      <x:c r="G94" s="16"/>
      <x:c r="H94" s="16"/>
      <x:c r="I94" s="16"/>
      <x:c r="J94" s="18"/>
      <x:c r="K94" s="16"/>
      <x:c r="L94" s="16"/>
    </x:row>
    <x:row r="95" ht="25" customHeight="1">
      <x:c r="A95" s="16"/>
      <x:c r="B95" s="16"/>
      <x:c r="C95" s="18"/>
      <x:c r="D95" s="19"/>
      <x:c r="E95" s="16"/>
      <x:c r="F95" s="16"/>
      <x:c r="G95" s="16"/>
      <x:c r="H95" s="16"/>
      <x:c r="I95" s="16"/>
      <x:c r="J95" s="18"/>
      <x:c r="K95" s="16"/>
      <x:c r="L95" s="16"/>
    </x:row>
    <x:row r="96" ht="25" customHeight="1">
      <x:c r="A96" s="16"/>
      <x:c r="B96" s="16"/>
      <x:c r="C96" s="18"/>
      <x:c r="D96" s="19"/>
      <x:c r="E96" s="16"/>
      <x:c r="F96" s="16"/>
      <x:c r="G96" s="16"/>
      <x:c r="H96" s="16"/>
      <x:c r="I96" s="16"/>
      <x:c r="J96" s="18"/>
      <x:c r="K96" s="16"/>
      <x:c r="L96" s="16"/>
    </x:row>
    <x:row r="97" ht="25" customHeight="1">
      <x:c r="A97" s="16"/>
      <x:c r="B97" s="16"/>
      <x:c r="C97" s="18"/>
      <x:c r="D97" s="19"/>
      <x:c r="E97" s="16"/>
      <x:c r="F97" s="16"/>
      <x:c r="G97" s="16"/>
      <x:c r="H97" s="16"/>
      <x:c r="I97" s="16"/>
      <x:c r="J97" s="18"/>
      <x:c r="K97" s="16"/>
      <x:c r="L97" s="16"/>
    </x:row>
    <x:row r="98" ht="25" customHeight="1">
      <x:c r="A98" s="16"/>
      <x:c r="B98" s="16"/>
      <x:c r="C98" s="18"/>
      <x:c r="D98" s="19"/>
      <x:c r="E98" s="16"/>
      <x:c r="F98" s="16"/>
      <x:c r="G98" s="16"/>
      <x:c r="H98" s="16"/>
      <x:c r="I98" s="16"/>
      <x:c r="J98" s="18"/>
      <x:c r="K98" s="16"/>
      <x:c r="L98" s="16"/>
    </x:row>
    <x:row r="99" ht="25" customHeight="1">
      <x:c r="A99" s="16"/>
      <x:c r="B99" s="16"/>
      <x:c r="C99" s="18"/>
      <x:c r="D99" s="19"/>
      <x:c r="E99" s="16"/>
      <x:c r="F99" s="16"/>
      <x:c r="G99" s="16"/>
      <x:c r="H99" s="16"/>
      <x:c r="I99" s="16"/>
      <x:c r="J99" s="18"/>
      <x:c r="K99" s="16"/>
      <x:c r="L99" s="16"/>
    </x:row>
    <x:row r="100" ht="25" customHeight="1">
      <x:c r="A100" s="16"/>
      <x:c r="B100" s="16"/>
      <x:c r="C100" s="18"/>
      <x:c r="D100" s="19"/>
      <x:c r="E100" s="16"/>
      <x:c r="F100" s="16"/>
      <x:c r="G100" s="16"/>
      <x:c r="H100" s="16"/>
      <x:c r="I100" s="16"/>
      <x:c r="J100" s="18"/>
      <x:c r="K100" s="16"/>
      <x:c r="L100" s="16"/>
    </x:row>
    <x:row r="101" ht="25" customHeight="1">
      <x:c r="A101" s="16"/>
      <x:c r="B101" s="16"/>
      <x:c r="C101" s="18"/>
      <x:c r="D101" s="19"/>
      <x:c r="E101" s="16"/>
      <x:c r="F101" s="16"/>
      <x:c r="G101" s="16"/>
      <x:c r="H101" s="16"/>
      <x:c r="I101" s="16"/>
      <x:c r="J101" s="18"/>
      <x:c r="K101" s="16"/>
      <x:c r="L101" s="16"/>
    </x:row>
    <x:row r="102" ht="25" customHeight="1">
      <x:c r="A102" s="16"/>
      <x:c r="B102" s="16"/>
      <x:c r="C102" s="18"/>
      <x:c r="D102" s="19"/>
      <x:c r="E102" s="16"/>
      <x:c r="F102" s="16"/>
      <x:c r="G102" s="16"/>
      <x:c r="H102" s="16"/>
      <x:c r="I102" s="16"/>
      <x:c r="J102" s="18"/>
      <x:c r="K102" s="16"/>
      <x:c r="L102" s="16"/>
    </x:row>
    <x:row r="103" ht="25" customHeight="1">
      <x:c r="A103" s="16"/>
      <x:c r="B103" s="16"/>
      <x:c r="C103" s="18"/>
      <x:c r="D103" s="19"/>
      <x:c r="E103" s="16"/>
      <x:c r="F103" s="16"/>
      <x:c r="G103" s="16"/>
      <x:c r="H103" s="16"/>
      <x:c r="I103" s="16"/>
      <x:c r="J103" s="18"/>
      <x:c r="K103" s="16"/>
      <x:c r="L103" s="16"/>
    </x:row>
    <x:row r="104" ht="25" customHeight="1">
      <x:c r="A104" s="16"/>
      <x:c r="B104" s="16"/>
      <x:c r="C104" s="18"/>
      <x:c r="D104" s="19"/>
      <x:c r="E104" s="16"/>
      <x:c r="F104" s="16"/>
      <x:c r="G104" s="16"/>
      <x:c r="H104" s="16"/>
      <x:c r="I104" s="16"/>
      <x:c r="J104" s="18"/>
      <x:c r="K104" s="16"/>
      <x:c r="L104" s="16"/>
    </x:row>
    <x:row r="105" ht="25" customHeight="1">
      <x:c r="A105" s="16"/>
      <x:c r="B105" s="16"/>
      <x:c r="C105" s="18"/>
      <x:c r="D105" s="19"/>
      <x:c r="E105" s="16"/>
      <x:c r="F105" s="16"/>
      <x:c r="G105" s="16"/>
      <x:c r="H105" s="16"/>
      <x:c r="I105" s="16"/>
      <x:c r="J105" s="18"/>
      <x:c r="K105" s="16"/>
      <x:c r="L105" s="16"/>
    </x:row>
    <x:row r="106" ht="25" customHeight="1">
      <x:c r="A106" s="16"/>
      <x:c r="B106" s="16"/>
      <x:c r="C106" s="18"/>
      <x:c r="D106" s="19"/>
      <x:c r="E106" s="16"/>
      <x:c r="F106" s="16"/>
      <x:c r="G106" s="16"/>
      <x:c r="H106" s="16"/>
      <x:c r="I106" s="16"/>
      <x:c r="J106" s="18"/>
      <x:c r="K106" s="16"/>
      <x:c r="L106" s="16"/>
    </x:row>
    <x:row r="107" ht="25" customHeight="1">
      <x:c r="A107" s="16"/>
      <x:c r="B107" s="16"/>
      <x:c r="C107" s="18"/>
      <x:c r="D107" s="19"/>
      <x:c r="E107" s="16"/>
      <x:c r="F107" s="16"/>
      <x:c r="G107" s="16"/>
      <x:c r="H107" s="16"/>
      <x:c r="I107" s="16"/>
      <x:c r="J107" s="18"/>
      <x:c r="K107" s="16"/>
      <x:c r="L107" s="16"/>
    </x:row>
    <x:row r="108" ht="25" customHeight="1">
      <x:c r="A108" s="16"/>
      <x:c r="B108" s="16"/>
      <x:c r="C108" s="18"/>
      <x:c r="D108" s="19"/>
      <x:c r="E108" s="16"/>
      <x:c r="F108" s="16"/>
      <x:c r="G108" s="16"/>
      <x:c r="H108" s="16"/>
      <x:c r="I108" s="16"/>
      <x:c r="J108" s="18"/>
      <x:c r="K108" s="16"/>
      <x:c r="L108" s="16"/>
    </x:row>
    <x:row r="109" ht="25" customHeight="1">
      <x:c r="A109" s="16"/>
      <x:c r="B109" s="16"/>
      <x:c r="C109" s="18"/>
      <x:c r="D109" s="19"/>
      <x:c r="E109" s="16"/>
      <x:c r="F109" s="16"/>
      <x:c r="G109" s="16"/>
      <x:c r="H109" s="16"/>
      <x:c r="I109" s="16"/>
      <x:c r="J109" s="18"/>
      <x:c r="K109" s="16"/>
      <x:c r="L109" s="16"/>
    </x:row>
    <x:row r="110" ht="25" customHeight="1">
      <x:c r="A110" s="16"/>
      <x:c r="B110" s="16"/>
      <x:c r="C110" s="18"/>
      <x:c r="D110" s="19"/>
      <x:c r="E110" s="16"/>
      <x:c r="F110" s="16"/>
      <x:c r="G110" s="16"/>
      <x:c r="H110" s="16"/>
      <x:c r="I110" s="16"/>
      <x:c r="J110" s="18"/>
      <x:c r="K110" s="16"/>
      <x:c r="L110" s="16"/>
    </x:row>
    <x:row r="111" ht="25" customHeight="1">
      <x:c r="A111" s="16"/>
      <x:c r="B111" s="16"/>
      <x:c r="C111" s="18"/>
      <x:c r="D111" s="19"/>
      <x:c r="E111" s="16"/>
      <x:c r="F111" s="16"/>
      <x:c r="G111" s="16"/>
      <x:c r="H111" s="16"/>
      <x:c r="I111" s="16"/>
      <x:c r="J111" s="18"/>
      <x:c r="K111" s="16"/>
      <x:c r="L111" s="16"/>
    </x:row>
    <x:row r="112" ht="25" customHeight="1">
      <x:c r="A112" s="16"/>
      <x:c r="B112" s="16"/>
      <x:c r="C112" s="18"/>
      <x:c r="D112" s="19"/>
      <x:c r="E112" s="16"/>
      <x:c r="F112" s="16"/>
      <x:c r="G112" s="16"/>
      <x:c r="H112" s="16"/>
      <x:c r="I112" s="16"/>
      <x:c r="J112" s="18"/>
      <x:c r="K112" s="16"/>
      <x:c r="L112" s="16"/>
    </x:row>
    <x:row r="113" ht="25" customHeight="1">
      <x:c r="A113" s="16"/>
      <x:c r="B113" s="16"/>
      <x:c r="C113" s="18"/>
      <x:c r="D113" s="19"/>
      <x:c r="E113" s="16"/>
      <x:c r="F113" s="16"/>
      <x:c r="G113" s="16"/>
      <x:c r="H113" s="16"/>
      <x:c r="I113" s="16"/>
      <x:c r="J113" s="18"/>
      <x:c r="K113" s="16"/>
      <x:c r="L113" s="16"/>
    </x:row>
    <x:row r="114" ht="25" customHeight="1">
      <x:c r="A114" s="16"/>
      <x:c r="B114" s="16"/>
      <x:c r="C114" s="18"/>
      <x:c r="D114" s="19"/>
      <x:c r="E114" s="16"/>
      <x:c r="F114" s="16"/>
      <x:c r="G114" s="16"/>
      <x:c r="H114" s="16"/>
      <x:c r="I114" s="16"/>
      <x:c r="J114" s="18"/>
      <x:c r="K114" s="16"/>
      <x:c r="L114" s="16"/>
    </x:row>
    <x:row r="115" ht="25" customHeight="1">
      <x:c r="A115" s="16"/>
      <x:c r="B115" s="16"/>
      <x:c r="C115" s="18"/>
      <x:c r="D115" s="19"/>
      <x:c r="E115" s="16"/>
      <x:c r="F115" s="16"/>
      <x:c r="G115" s="16"/>
      <x:c r="H115" s="16"/>
      <x:c r="I115" s="16"/>
      <x:c r="J115" s="18"/>
      <x:c r="K115" s="16"/>
      <x:c r="L115" s="16"/>
    </x:row>
    <x:row r="116" ht="25" customHeight="1">
      <x:c r="A116" s="16"/>
      <x:c r="B116" s="16"/>
      <x:c r="C116" s="18"/>
      <x:c r="D116" s="19"/>
      <x:c r="E116" s="16"/>
      <x:c r="F116" s="16"/>
      <x:c r="G116" s="16"/>
      <x:c r="H116" s="16"/>
      <x:c r="I116" s="16"/>
      <x:c r="J116" s="18"/>
      <x:c r="K116" s="16"/>
      <x:c r="L116" s="16"/>
    </x:row>
    <x:row r="117" ht="25" customHeight="1">
      <x:c r="A117" s="16"/>
      <x:c r="B117" s="16"/>
      <x:c r="C117" s="18"/>
      <x:c r="D117" s="19"/>
      <x:c r="E117" s="16"/>
      <x:c r="F117" s="16"/>
      <x:c r="G117" s="16"/>
      <x:c r="H117" s="16"/>
      <x:c r="I117" s="16"/>
      <x:c r="J117" s="18"/>
      <x:c r="K117" s="16"/>
      <x:c r="L117" s="16"/>
    </x:row>
    <x:row r="118" ht="25" customHeight="1">
      <x:c r="A118" s="16"/>
      <x:c r="B118" s="16"/>
      <x:c r="C118" s="18"/>
      <x:c r="D118" s="19"/>
      <x:c r="E118" s="16"/>
      <x:c r="F118" s="16"/>
      <x:c r="G118" s="16"/>
      <x:c r="H118" s="16"/>
      <x:c r="I118" s="16"/>
      <x:c r="J118" s="18"/>
      <x:c r="K118" s="16"/>
      <x:c r="L118" s="16"/>
    </x:row>
    <x:row r="119" ht="25" customHeight="1">
      <x:c r="A119" s="16"/>
      <x:c r="B119" s="16"/>
      <x:c r="C119" s="18"/>
      <x:c r="D119" s="19"/>
      <x:c r="E119" s="16"/>
      <x:c r="F119" s="16"/>
      <x:c r="G119" s="16"/>
      <x:c r="H119" s="16"/>
      <x:c r="I119" s="16"/>
      <x:c r="J119" s="18"/>
      <x:c r="K119" s="16"/>
      <x:c r="L119" s="16"/>
    </x:row>
    <x:row r="120" ht="25" customHeight="1">
      <x:c r="A120" s="16"/>
      <x:c r="B120" s="16"/>
      <x:c r="C120" s="18"/>
      <x:c r="D120" s="19"/>
      <x:c r="E120" s="16"/>
      <x:c r="F120" s="16"/>
      <x:c r="G120" s="16"/>
      <x:c r="H120" s="16"/>
      <x:c r="I120" s="16"/>
      <x:c r="J120" s="18"/>
      <x:c r="K120" s="16"/>
      <x:c r="L120" s="16"/>
    </x:row>
    <x:row r="121" ht="25" customHeight="1">
      <x:c r="A121" s="16"/>
      <x:c r="B121" s="16"/>
      <x:c r="C121" s="18"/>
      <x:c r="D121" s="19"/>
      <x:c r="E121" s="16"/>
      <x:c r="F121" s="16"/>
      <x:c r="G121" s="16"/>
      <x:c r="H121" s="16"/>
      <x:c r="I121" s="16"/>
      <x:c r="J121" s="18"/>
      <x:c r="K121" s="16"/>
      <x:c r="L121" s="16"/>
    </x:row>
    <x:row r="122" ht="25" customHeight="1">
      <x:c r="A122" s="16"/>
      <x:c r="B122" s="16"/>
      <x:c r="C122" s="18"/>
      <x:c r="D122" s="19"/>
      <x:c r="E122" s="16"/>
      <x:c r="F122" s="16"/>
      <x:c r="G122" s="16"/>
      <x:c r="H122" s="16"/>
      <x:c r="I122" s="16"/>
      <x:c r="J122" s="18"/>
      <x:c r="K122" s="16"/>
      <x:c r="L122" s="16"/>
    </x:row>
    <x:row r="123" ht="25" customHeight="1">
      <x:c r="A123" s="16"/>
      <x:c r="B123" s="16"/>
      <x:c r="C123" s="18"/>
      <x:c r="D123" s="19"/>
      <x:c r="E123" s="16"/>
      <x:c r="F123" s="16"/>
      <x:c r="G123" s="16"/>
      <x:c r="H123" s="16"/>
      <x:c r="I123" s="16"/>
      <x:c r="J123" s="18"/>
      <x:c r="K123" s="16"/>
      <x:c r="L123" s="16"/>
    </x:row>
    <x:row r="124" ht="25" customHeight="1">
      <x:c r="A124" s="16"/>
      <x:c r="B124" s="16"/>
      <x:c r="C124" s="18"/>
      <x:c r="D124" s="19"/>
      <x:c r="E124" s="16"/>
      <x:c r="F124" s="16"/>
      <x:c r="G124" s="16"/>
      <x:c r="H124" s="16"/>
      <x:c r="I124" s="16"/>
      <x:c r="J124" s="18"/>
      <x:c r="K124" s="16"/>
      <x:c r="L124" s="16"/>
    </x:row>
    <x:row r="125" ht="25" customHeight="1">
      <x:c r="A125" s="16"/>
      <x:c r="B125" s="16"/>
      <x:c r="C125" s="18"/>
      <x:c r="D125" s="19"/>
      <x:c r="E125" s="16"/>
      <x:c r="F125" s="16"/>
      <x:c r="G125" s="16"/>
      <x:c r="H125" s="16"/>
      <x:c r="I125" s="16"/>
      <x:c r="J125" s="18"/>
      <x:c r="K125" s="16"/>
      <x:c r="L125" s="16"/>
    </x:row>
    <x:row r="126" ht="25" customHeight="1">
      <x:c r="A126" s="16"/>
      <x:c r="B126" s="16"/>
      <x:c r="C126" s="18"/>
      <x:c r="D126" s="19"/>
      <x:c r="E126" s="16"/>
      <x:c r="F126" s="16"/>
      <x:c r="G126" s="16"/>
      <x:c r="H126" s="16"/>
      <x:c r="I126" s="16"/>
      <x:c r="J126" s="18"/>
      <x:c r="K126" s="16"/>
      <x:c r="L126" s="16"/>
    </x:row>
    <x:row r="127" ht="25" customHeight="1">
      <x:c r="A127" s="16"/>
      <x:c r="B127" s="16"/>
      <x:c r="C127" s="18"/>
      <x:c r="D127" s="19"/>
      <x:c r="E127" s="16"/>
      <x:c r="F127" s="16"/>
      <x:c r="G127" s="16"/>
      <x:c r="H127" s="16"/>
      <x:c r="I127" s="16"/>
      <x:c r="J127" s="18"/>
      <x:c r="K127" s="16"/>
      <x:c r="L127" s="16"/>
    </x:row>
    <x:row r="128" ht="25" customHeight="1">
      <x:c r="A128" s="16"/>
      <x:c r="B128" s="16"/>
      <x:c r="C128" s="18"/>
      <x:c r="D128" s="19"/>
      <x:c r="E128" s="16"/>
      <x:c r="F128" s="16"/>
      <x:c r="G128" s="16"/>
      <x:c r="H128" s="16"/>
      <x:c r="I128" s="16"/>
      <x:c r="J128" s="18"/>
      <x:c r="K128" s="16"/>
      <x:c r="L128" s="16"/>
    </x:row>
    <x:row r="129" ht="25" customHeight="1">
      <x:c r="A129" s="16"/>
      <x:c r="B129" s="16"/>
      <x:c r="C129" s="18"/>
      <x:c r="D129" s="19"/>
      <x:c r="E129" s="16"/>
      <x:c r="F129" s="16"/>
      <x:c r="G129" s="16"/>
      <x:c r="H129" s="16"/>
      <x:c r="I129" s="16"/>
      <x:c r="J129" s="18"/>
      <x:c r="K129" s="16"/>
      <x:c r="L129" s="16"/>
    </x:row>
    <x:row r="130" ht="25" customHeight="1">
      <x:c r="A130" s="16"/>
      <x:c r="B130" s="16"/>
      <x:c r="C130" s="18"/>
      <x:c r="D130" s="19"/>
      <x:c r="E130" s="16"/>
      <x:c r="F130" s="16"/>
      <x:c r="G130" s="16"/>
      <x:c r="H130" s="16"/>
      <x:c r="I130" s="16"/>
      <x:c r="J130" s="18"/>
      <x:c r="K130" s="16"/>
      <x:c r="L130" s="16"/>
    </x:row>
    <x:row r="131" ht="25" customHeight="1">
      <x:c r="A131" s="16"/>
      <x:c r="B131" s="16"/>
      <x:c r="C131" s="18"/>
      <x:c r="D131" s="19"/>
      <x:c r="E131" s="16"/>
      <x:c r="F131" s="16"/>
      <x:c r="G131" s="16"/>
      <x:c r="H131" s="16"/>
      <x:c r="I131" s="16"/>
      <x:c r="J131" s="18"/>
      <x:c r="K131" s="16"/>
      <x:c r="L131" s="16"/>
    </x:row>
    <x:row r="132" ht="25" customHeight="1">
      <x:c r="A132" s="16"/>
      <x:c r="B132" s="16"/>
      <x:c r="C132" s="18"/>
      <x:c r="D132" s="19"/>
      <x:c r="E132" s="16"/>
      <x:c r="F132" s="16"/>
      <x:c r="G132" s="16"/>
      <x:c r="H132" s="16"/>
      <x:c r="I132" s="16"/>
      <x:c r="J132" s="18"/>
      <x:c r="K132" s="16"/>
      <x:c r="L132" s="16"/>
    </x:row>
    <x:row r="133" ht="25" customHeight="1">
      <x:c r="A133" s="16"/>
      <x:c r="B133" s="16"/>
      <x:c r="C133" s="18"/>
      <x:c r="D133" s="19"/>
      <x:c r="E133" s="16"/>
      <x:c r="F133" s="16"/>
      <x:c r="G133" s="16"/>
      <x:c r="H133" s="16"/>
      <x:c r="I133" s="16"/>
      <x:c r="J133" s="18"/>
      <x:c r="K133" s="16"/>
      <x:c r="L133" s="16"/>
    </x:row>
    <x:row r="134" ht="25" customHeight="1">
      <x:c r="A134" s="16"/>
      <x:c r="B134" s="16"/>
      <x:c r="C134" s="18"/>
      <x:c r="D134" s="19"/>
      <x:c r="E134" s="16"/>
      <x:c r="F134" s="16"/>
      <x:c r="G134" s="16"/>
      <x:c r="H134" s="16"/>
      <x:c r="I134" s="16"/>
      <x:c r="J134" s="18"/>
      <x:c r="K134" s="16"/>
      <x:c r="L134" s="16"/>
    </x:row>
    <x:row r="135" ht="25" customHeight="1">
      <x:c r="A135" s="16"/>
      <x:c r="B135" s="16"/>
      <x:c r="C135" s="18"/>
      <x:c r="D135" s="19"/>
      <x:c r="E135" s="16"/>
      <x:c r="F135" s="16"/>
      <x:c r="G135" s="16"/>
      <x:c r="H135" s="16"/>
      <x:c r="I135" s="16"/>
      <x:c r="J135" s="18"/>
      <x:c r="K135" s="16"/>
      <x:c r="L135" s="16"/>
    </x:row>
    <x:row r="136" ht="25" customHeight="1">
      <x:c r="A136" s="16"/>
      <x:c r="B136" s="16"/>
      <x:c r="C136" s="18"/>
      <x:c r="D136" s="19"/>
      <x:c r="E136" s="16"/>
      <x:c r="F136" s="16"/>
      <x:c r="G136" s="16"/>
      <x:c r="H136" s="16"/>
      <x:c r="I136" s="16"/>
      <x:c r="J136" s="18"/>
      <x:c r="K136" s="16"/>
      <x:c r="L136" s="16"/>
    </x:row>
    <x:row r="137" ht="25" customHeight="1">
      <x:c r="A137" s="16"/>
      <x:c r="B137" s="16"/>
      <x:c r="C137" s="18"/>
      <x:c r="D137" s="19"/>
      <x:c r="E137" s="16"/>
      <x:c r="F137" s="16"/>
      <x:c r="G137" s="16"/>
      <x:c r="H137" s="16"/>
      <x:c r="I137" s="16"/>
      <x:c r="J137" s="18"/>
      <x:c r="K137" s="16"/>
      <x:c r="L137" s="16"/>
    </x:row>
    <x:row r="138" ht="25" customHeight="1">
      <x:c r="A138" s="16"/>
      <x:c r="B138" s="16"/>
      <x:c r="C138" s="18"/>
      <x:c r="D138" s="19"/>
      <x:c r="E138" s="16"/>
      <x:c r="F138" s="16"/>
      <x:c r="G138" s="16"/>
      <x:c r="H138" s="16"/>
      <x:c r="I138" s="16"/>
      <x:c r="J138" s="18"/>
      <x:c r="K138" s="16"/>
      <x:c r="L138" s="16"/>
    </x:row>
    <x:row r="139" ht="25" customHeight="1">
      <x:c r="A139" s="16"/>
      <x:c r="B139" s="16"/>
      <x:c r="C139" s="18"/>
      <x:c r="D139" s="19"/>
      <x:c r="E139" s="16"/>
      <x:c r="F139" s="16"/>
      <x:c r="G139" s="16"/>
      <x:c r="H139" s="16"/>
      <x:c r="I139" s="16"/>
      <x:c r="J139" s="18"/>
      <x:c r="K139" s="16"/>
      <x:c r="L139" s="16"/>
    </x:row>
    <x:row r="140" ht="25" customHeight="1">
      <x:c r="A140" s="16"/>
      <x:c r="B140" s="16"/>
      <x:c r="C140" s="18"/>
      <x:c r="D140" s="19"/>
      <x:c r="E140" s="16"/>
      <x:c r="F140" s="16"/>
      <x:c r="G140" s="16"/>
      <x:c r="H140" s="16"/>
      <x:c r="I140" s="16"/>
      <x:c r="J140" s="18"/>
      <x:c r="K140" s="16"/>
      <x:c r="L140" s="16"/>
    </x:row>
    <x:row r="141" ht="25" customHeight="1">
      <x:c r="A141" s="16"/>
      <x:c r="B141" s="16"/>
      <x:c r="C141" s="18"/>
      <x:c r="D141" s="19"/>
      <x:c r="E141" s="16"/>
      <x:c r="F141" s="16"/>
      <x:c r="G141" s="16"/>
      <x:c r="H141" s="16"/>
      <x:c r="I141" s="16"/>
      <x:c r="J141" s="18"/>
      <x:c r="K141" s="16"/>
      <x:c r="L141" s="16"/>
    </x:row>
    <x:row r="142" ht="25" customHeight="1">
      <x:c r="A142" s="16"/>
      <x:c r="B142" s="16"/>
      <x:c r="C142" s="18"/>
      <x:c r="D142" s="19"/>
      <x:c r="E142" s="16"/>
      <x:c r="F142" s="16"/>
      <x:c r="G142" s="16"/>
      <x:c r="H142" s="16"/>
      <x:c r="I142" s="16"/>
      <x:c r="J142" s="18"/>
      <x:c r="K142" s="16"/>
      <x:c r="L142" s="16"/>
    </x:row>
    <x:row r="143" ht="25" customHeight="1">
      <x:c r="A143" s="16"/>
      <x:c r="B143" s="16"/>
      <x:c r="C143" s="18"/>
      <x:c r="D143" s="19"/>
      <x:c r="E143" s="16"/>
      <x:c r="F143" s="16"/>
      <x:c r="G143" s="16"/>
      <x:c r="H143" s="16"/>
      <x:c r="I143" s="16"/>
      <x:c r="J143" s="18"/>
      <x:c r="K143" s="16"/>
      <x:c r="L143" s="16"/>
    </x:row>
    <x:row r="144" ht="25" customHeight="1">
      <x:c r="A144" s="16"/>
      <x:c r="B144" s="16"/>
      <x:c r="C144" s="18"/>
      <x:c r="D144" s="19"/>
      <x:c r="E144" s="16"/>
      <x:c r="F144" s="16"/>
      <x:c r="G144" s="16"/>
      <x:c r="H144" s="16"/>
      <x:c r="I144" s="16"/>
      <x:c r="J144" s="18"/>
      <x:c r="K144" s="16"/>
      <x:c r="L144" s="16"/>
    </x:row>
    <x:row r="145" ht="25" customHeight="1">
      <x:c r="A145" s="16"/>
      <x:c r="B145" s="16"/>
      <x:c r="C145" s="18"/>
      <x:c r="D145" s="19"/>
      <x:c r="E145" s="16"/>
      <x:c r="F145" s="16"/>
      <x:c r="G145" s="16"/>
      <x:c r="H145" s="16"/>
      <x:c r="I145" s="16"/>
      <x:c r="J145" s="18"/>
      <x:c r="K145" s="16"/>
      <x:c r="L145" s="16"/>
    </x:row>
    <x:row r="146" ht="25" customHeight="1">
      <x:c r="A146" s="16"/>
      <x:c r="B146" s="16"/>
      <x:c r="C146" s="18"/>
      <x:c r="D146" s="19"/>
      <x:c r="E146" s="16"/>
      <x:c r="F146" s="16"/>
      <x:c r="G146" s="16"/>
      <x:c r="H146" s="16"/>
      <x:c r="I146" s="16"/>
      <x:c r="J146" s="18"/>
      <x:c r="K146" s="16"/>
      <x:c r="L146" s="16"/>
    </x:row>
    <x:row r="147" ht="25" customHeight="1">
      <x:c r="A147" s="16"/>
      <x:c r="B147" s="16"/>
      <x:c r="C147" s="18"/>
      <x:c r="D147" s="19"/>
      <x:c r="E147" s="16"/>
      <x:c r="F147" s="16"/>
      <x:c r="G147" s="16"/>
      <x:c r="H147" s="16"/>
      <x:c r="I147" s="16"/>
      <x:c r="J147" s="18"/>
      <x:c r="K147" s="16"/>
      <x:c r="L147" s="16"/>
    </x:row>
    <x:row r="148" ht="25" customHeight="1">
      <x:c r="A148" s="16"/>
      <x:c r="B148" s="16"/>
      <x:c r="C148" s="18"/>
      <x:c r="D148" s="19"/>
      <x:c r="E148" s="16"/>
      <x:c r="F148" s="16"/>
      <x:c r="G148" s="16"/>
      <x:c r="H148" s="16"/>
      <x:c r="I148" s="16"/>
      <x:c r="J148" s="18"/>
      <x:c r="K148" s="16"/>
      <x:c r="L148" s="16"/>
    </x:row>
    <x:row r="149" ht="25" customHeight="1">
      <x:c r="A149" s="16"/>
      <x:c r="B149" s="16"/>
      <x:c r="C149" s="18"/>
      <x:c r="D149" s="19"/>
      <x:c r="E149" s="16"/>
      <x:c r="F149" s="16"/>
      <x:c r="G149" s="16"/>
      <x:c r="H149" s="16"/>
      <x:c r="I149" s="16"/>
      <x:c r="J149" s="18"/>
      <x:c r="K149" s="16"/>
      <x:c r="L149" s="16"/>
    </x:row>
    <x:row r="150" ht="25" customHeight="1">
      <x:c r="A150" s="16"/>
      <x:c r="B150" s="16"/>
      <x:c r="C150" s="18"/>
      <x:c r="D150" s="19"/>
      <x:c r="E150" s="16"/>
      <x:c r="F150" s="16"/>
      <x:c r="G150" s="16"/>
      <x:c r="H150" s="16"/>
      <x:c r="I150" s="16"/>
      <x:c r="J150" s="18"/>
      <x:c r="K150" s="16"/>
      <x:c r="L150" s="16"/>
    </x:row>
    <x:row r="151" ht="25" customHeight="1">
      <x:c r="A151" s="16"/>
      <x:c r="B151" s="16"/>
      <x:c r="C151" s="18"/>
      <x:c r="D151" s="19"/>
      <x:c r="E151" s="16"/>
      <x:c r="F151" s="16"/>
      <x:c r="G151" s="16"/>
      <x:c r="H151" s="16"/>
      <x:c r="I151" s="16"/>
      <x:c r="J151" s="18"/>
      <x:c r="K151" s="16"/>
      <x:c r="L151" s="16"/>
    </x:row>
    <x:row r="152" ht="25" customHeight="1">
      <x:c r="A152" s="16"/>
      <x:c r="B152" s="16"/>
      <x:c r="C152" s="18"/>
      <x:c r="D152" s="19"/>
      <x:c r="E152" s="16"/>
      <x:c r="F152" s="16"/>
      <x:c r="G152" s="16"/>
      <x:c r="H152" s="16"/>
      <x:c r="I152" s="16"/>
      <x:c r="J152" s="18"/>
      <x:c r="K152" s="16"/>
      <x:c r="L152" s="16"/>
    </x:row>
    <x:row r="153" ht="25" customHeight="1">
      <x:c r="A153" s="16"/>
      <x:c r="B153" s="16"/>
      <x:c r="C153" s="18"/>
      <x:c r="D153" s="19"/>
      <x:c r="E153" s="16"/>
      <x:c r="F153" s="16"/>
      <x:c r="G153" s="16"/>
      <x:c r="H153" s="16"/>
      <x:c r="I153" s="16"/>
      <x:c r="J153" s="18"/>
      <x:c r="K153" s="16"/>
      <x:c r="L153" s="16"/>
    </x:row>
    <x:row r="154" ht="25" customHeight="1">
      <x:c r="A154" s="16"/>
      <x:c r="B154" s="16"/>
      <x:c r="C154" s="18"/>
      <x:c r="D154" s="19"/>
      <x:c r="E154" s="16"/>
      <x:c r="F154" s="16"/>
      <x:c r="G154" s="16"/>
      <x:c r="H154" s="16"/>
      <x:c r="I154" s="16"/>
      <x:c r="J154" s="18"/>
      <x:c r="K154" s="16"/>
      <x:c r="L154" s="16"/>
    </x:row>
    <x:row r="155" ht="25" customHeight="1">
      <x:c r="A155" s="16"/>
      <x:c r="B155" s="16"/>
      <x:c r="C155" s="18"/>
      <x:c r="D155" s="19"/>
      <x:c r="E155" s="16"/>
      <x:c r="F155" s="16"/>
      <x:c r="G155" s="16"/>
      <x:c r="H155" s="16"/>
      <x:c r="I155" s="16"/>
      <x:c r="J155" s="18"/>
      <x:c r="K155" s="16"/>
      <x:c r="L155" s="16"/>
    </x:row>
    <x:row r="156" ht="25" customHeight="1">
      <x:c r="A156" s="16"/>
      <x:c r="B156" s="16"/>
      <x:c r="C156" s="18"/>
      <x:c r="D156" s="19"/>
      <x:c r="E156" s="16"/>
      <x:c r="F156" s="16"/>
      <x:c r="G156" s="16"/>
      <x:c r="H156" s="16"/>
      <x:c r="I156" s="16"/>
      <x:c r="J156" s="18"/>
      <x:c r="K156" s="16"/>
      <x:c r="L156" s="16"/>
    </x:row>
    <x:row r="157" ht="25" customHeight="1">
      <x:c r="A157" s="16"/>
      <x:c r="B157" s="16"/>
      <x:c r="C157" s="18"/>
      <x:c r="D157" s="19"/>
      <x:c r="E157" s="16"/>
      <x:c r="F157" s="16"/>
      <x:c r="G157" s="16"/>
      <x:c r="H157" s="16"/>
      <x:c r="I157" s="16"/>
      <x:c r="J157" s="18"/>
      <x:c r="K157" s="16"/>
      <x:c r="L157" s="16"/>
    </x:row>
    <x:row r="158" ht="25" customHeight="1">
      <x:c r="A158" s="16"/>
      <x:c r="B158" s="16"/>
      <x:c r="C158" s="18"/>
      <x:c r="D158" s="19"/>
      <x:c r="E158" s="16"/>
      <x:c r="F158" s="16"/>
      <x:c r="G158" s="16"/>
      <x:c r="H158" s="16"/>
      <x:c r="I158" s="16"/>
      <x:c r="J158" s="18"/>
      <x:c r="K158" s="16"/>
      <x:c r="L158" s="16"/>
    </x:row>
    <x:row r="159" ht="25" customHeight="1">
      <x:c r="A159" s="16"/>
      <x:c r="B159" s="16"/>
      <x:c r="C159" s="18"/>
      <x:c r="D159" s="19"/>
      <x:c r="E159" s="16"/>
      <x:c r="F159" s="16"/>
      <x:c r="G159" s="16"/>
      <x:c r="H159" s="16"/>
      <x:c r="I159" s="16"/>
      <x:c r="J159" s="18"/>
      <x:c r="K159" s="16"/>
      <x:c r="L159" s="16"/>
    </x:row>
    <x:row r="160" ht="25" customHeight="1">
      <x:c r="A160" s="16"/>
      <x:c r="B160" s="16"/>
      <x:c r="C160" s="18"/>
      <x:c r="D160" s="19"/>
      <x:c r="E160" s="16"/>
      <x:c r="F160" s="16"/>
      <x:c r="G160" s="16"/>
      <x:c r="H160" s="16"/>
      <x:c r="I160" s="16"/>
      <x:c r="J160" s="18"/>
      <x:c r="K160" s="16"/>
      <x:c r="L160" s="16"/>
    </x:row>
    <x:row r="161" ht="25" customHeight="1">
      <x:c r="A161" s="16"/>
      <x:c r="B161" s="16"/>
      <x:c r="C161" s="18"/>
      <x:c r="D161" s="19"/>
      <x:c r="E161" s="16"/>
      <x:c r="F161" s="16"/>
      <x:c r="G161" s="16"/>
      <x:c r="H161" s="16"/>
      <x:c r="I161" s="16"/>
      <x:c r="J161" s="18"/>
      <x:c r="K161" s="16"/>
      <x:c r="L161" s="16"/>
    </x:row>
    <x:row r="162" ht="25" customHeight="1">
      <x:c r="A162" s="16"/>
      <x:c r="B162" s="16"/>
      <x:c r="C162" s="18"/>
      <x:c r="D162" s="19"/>
      <x:c r="E162" s="16"/>
      <x:c r="F162" s="16"/>
      <x:c r="G162" s="16"/>
      <x:c r="H162" s="16"/>
      <x:c r="I162" s="16"/>
      <x:c r="J162" s="18"/>
      <x:c r="K162" s="16"/>
      <x:c r="L162" s="16"/>
    </x:row>
    <x:row r="163" ht="25" customHeight="1">
      <x:c r="A163" s="16"/>
      <x:c r="B163" s="16"/>
      <x:c r="C163" s="18"/>
      <x:c r="D163" s="19"/>
      <x:c r="E163" s="16"/>
      <x:c r="F163" s="16"/>
      <x:c r="G163" s="16"/>
      <x:c r="H163" s="16"/>
      <x:c r="I163" s="16"/>
      <x:c r="J163" s="18"/>
      <x:c r="K163" s="16"/>
      <x:c r="L163" s="16"/>
    </x:row>
    <x:row r="164" ht="25" customHeight="1">
      <x:c r="A164" s="16"/>
      <x:c r="B164" s="16"/>
      <x:c r="C164" s="18"/>
      <x:c r="D164" s="19"/>
      <x:c r="E164" s="16"/>
      <x:c r="F164" s="16"/>
      <x:c r="G164" s="16"/>
      <x:c r="H164" s="16"/>
      <x:c r="I164" s="16"/>
      <x:c r="J164" s="18"/>
      <x:c r="K164" s="16"/>
      <x:c r="L164" s="16"/>
    </x:row>
    <x:row r="165" ht="25" customHeight="1">
      <x:c r="A165" s="16"/>
      <x:c r="B165" s="16"/>
      <x:c r="C165" s="18"/>
      <x:c r="D165" s="19"/>
      <x:c r="E165" s="16"/>
      <x:c r="F165" s="16"/>
      <x:c r="G165" s="16"/>
      <x:c r="H165" s="16"/>
      <x:c r="I165" s="16"/>
      <x:c r="J165" s="18"/>
      <x:c r="K165" s="16"/>
      <x:c r="L165" s="16"/>
    </x:row>
    <x:row r="166" ht="25" customHeight="1">
      <x:c r="A166" s="16"/>
      <x:c r="B166" s="16"/>
      <x:c r="C166" s="18"/>
      <x:c r="D166" s="19"/>
      <x:c r="E166" s="16"/>
      <x:c r="F166" s="16"/>
      <x:c r="G166" s="16"/>
      <x:c r="H166" s="16"/>
      <x:c r="I166" s="16"/>
      <x:c r="J166" s="18"/>
      <x:c r="K166" s="16"/>
      <x:c r="L166" s="16"/>
    </x:row>
    <x:row r="167" ht="25" customHeight="1">
      <x:c r="A167" s="16"/>
      <x:c r="B167" s="16"/>
      <x:c r="C167" s="18"/>
      <x:c r="D167" s="19"/>
      <x:c r="E167" s="16"/>
      <x:c r="F167" s="16"/>
      <x:c r="G167" s="16"/>
      <x:c r="H167" s="16"/>
      <x:c r="I167" s="16"/>
      <x:c r="J167" s="18"/>
      <x:c r="K167" s="16"/>
      <x:c r="L167" s="16"/>
    </x:row>
    <x:row r="168" ht="25" customHeight="1">
      <x:c r="A168" s="16"/>
      <x:c r="B168" s="16"/>
      <x:c r="C168" s="18"/>
      <x:c r="D168" s="19"/>
      <x:c r="E168" s="16"/>
      <x:c r="F168" s="16"/>
      <x:c r="G168" s="16"/>
      <x:c r="H168" s="16"/>
      <x:c r="I168" s="16"/>
      <x:c r="J168" s="18"/>
      <x:c r="K168" s="16"/>
      <x:c r="L168" s="16"/>
    </x:row>
    <x:row r="169" ht="25" customHeight="1">
      <x:c r="A169" s="16"/>
      <x:c r="B169" s="16"/>
      <x:c r="C169" s="18"/>
      <x:c r="D169" s="19"/>
      <x:c r="E169" s="16"/>
      <x:c r="F169" s="16"/>
      <x:c r="G169" s="16"/>
      <x:c r="H169" s="16"/>
      <x:c r="I169" s="16"/>
      <x:c r="J169" s="18"/>
      <x:c r="K169" s="16"/>
      <x:c r="L169" s="16"/>
    </x:row>
    <x:row r="170" ht="25" customHeight="1">
      <x:c r="A170" s="16"/>
      <x:c r="B170" s="16"/>
      <x:c r="C170" s="18"/>
      <x:c r="D170" s="19"/>
      <x:c r="E170" s="16"/>
      <x:c r="F170" s="16"/>
      <x:c r="G170" s="16"/>
      <x:c r="H170" s="16"/>
      <x:c r="I170" s="16"/>
      <x:c r="J170" s="18"/>
      <x:c r="K170" s="16"/>
      <x:c r="L170" s="16"/>
    </x:row>
    <x:row r="171" ht="25" customHeight="1">
      <x:c r="A171" s="16"/>
      <x:c r="B171" s="16"/>
      <x:c r="C171" s="18"/>
      <x:c r="D171" s="19"/>
      <x:c r="E171" s="16"/>
      <x:c r="F171" s="16"/>
      <x:c r="G171" s="16"/>
      <x:c r="H171" s="16"/>
      <x:c r="I171" s="16"/>
      <x:c r="J171" s="18"/>
      <x:c r="K171" s="16"/>
      <x:c r="L171" s="16"/>
    </x:row>
    <x:row r="172" ht="25" customHeight="1">
      <x:c r="A172" s="16"/>
      <x:c r="B172" s="16"/>
      <x:c r="C172" s="18"/>
      <x:c r="D172" s="19"/>
      <x:c r="E172" s="16"/>
      <x:c r="F172" s="16"/>
      <x:c r="G172" s="16"/>
      <x:c r="H172" s="16"/>
      <x:c r="I172" s="16"/>
      <x:c r="J172" s="18"/>
      <x:c r="K172" s="16"/>
      <x:c r="L172" s="16"/>
    </x:row>
    <x:row r="173" ht="25" customHeight="1">
      <x:c r="A173" s="16"/>
      <x:c r="B173" s="16"/>
      <x:c r="C173" s="18"/>
      <x:c r="D173" s="19"/>
      <x:c r="E173" s="16"/>
      <x:c r="F173" s="16"/>
      <x:c r="G173" s="16"/>
      <x:c r="H173" s="16"/>
      <x:c r="I173" s="16"/>
      <x:c r="J173" s="18"/>
      <x:c r="K173" s="16"/>
      <x:c r="L173" s="16"/>
    </x:row>
    <x:row r="174" ht="25" customHeight="1">
      <x:c r="A174" s="16"/>
      <x:c r="B174" s="16"/>
      <x:c r="C174" s="18"/>
      <x:c r="D174" s="19"/>
      <x:c r="E174" s="16"/>
      <x:c r="F174" s="16"/>
      <x:c r="G174" s="16"/>
      <x:c r="H174" s="16"/>
      <x:c r="I174" s="16"/>
      <x:c r="J174" s="18"/>
      <x:c r="K174" s="16"/>
      <x:c r="L174" s="16"/>
    </x:row>
    <x:row r="175" ht="25" customHeight="1">
      <x:c r="A175" s="16"/>
      <x:c r="B175" s="16"/>
      <x:c r="C175" s="18"/>
      <x:c r="D175" s="19"/>
      <x:c r="E175" s="16"/>
      <x:c r="F175" s="16"/>
      <x:c r="G175" s="16"/>
      <x:c r="H175" s="16"/>
      <x:c r="I175" s="16"/>
      <x:c r="J175" s="18"/>
      <x:c r="K175" s="16"/>
      <x:c r="L175" s="16"/>
    </x:row>
    <x:row r="176" ht="25" customHeight="1">
      <x:c r="A176" s="16"/>
      <x:c r="B176" s="16"/>
      <x:c r="C176" s="18"/>
      <x:c r="D176" s="19"/>
      <x:c r="E176" s="16"/>
      <x:c r="F176" s="16"/>
      <x:c r="G176" s="16"/>
      <x:c r="H176" s="16"/>
      <x:c r="I176" s="16"/>
      <x:c r="J176" s="18"/>
      <x:c r="K176" s="16"/>
      <x:c r="L176" s="16"/>
    </x:row>
    <x:row r="177" ht="25" customHeight="1">
      <x:c r="A177" s="16"/>
      <x:c r="B177" s="16"/>
      <x:c r="C177" s="18"/>
      <x:c r="D177" s="19"/>
      <x:c r="E177" s="16"/>
      <x:c r="F177" s="16"/>
      <x:c r="G177" s="16"/>
      <x:c r="H177" s="16"/>
      <x:c r="I177" s="16"/>
      <x:c r="J177" s="18"/>
      <x:c r="K177" s="16"/>
      <x:c r="L177" s="16"/>
    </x:row>
    <x:row r="178" ht="25" customHeight="1">
      <x:c r="A178" s="16"/>
      <x:c r="B178" s="16"/>
      <x:c r="C178" s="18"/>
      <x:c r="D178" s="19"/>
      <x:c r="E178" s="16"/>
      <x:c r="F178" s="16"/>
      <x:c r="G178" s="16"/>
      <x:c r="H178" s="16"/>
      <x:c r="I178" s="16"/>
      <x:c r="J178" s="18"/>
      <x:c r="K178" s="16"/>
      <x:c r="L178" s="16"/>
    </x:row>
    <x:row r="179" ht="25" customHeight="1">
      <x:c r="A179" s="16"/>
      <x:c r="B179" s="16"/>
      <x:c r="C179" s="18"/>
      <x:c r="D179" s="19"/>
      <x:c r="E179" s="16"/>
      <x:c r="F179" s="16"/>
      <x:c r="G179" s="16"/>
      <x:c r="H179" s="16"/>
      <x:c r="I179" s="16"/>
      <x:c r="J179" s="18"/>
      <x:c r="K179" s="16"/>
      <x:c r="L179" s="16"/>
    </x:row>
    <x:row r="180" ht="25" customHeight="1">
      <x:c r="A180" s="16"/>
      <x:c r="B180" s="16"/>
      <x:c r="C180" s="18"/>
      <x:c r="D180" s="19"/>
      <x:c r="E180" s="16"/>
      <x:c r="F180" s="16"/>
      <x:c r="G180" s="16"/>
      <x:c r="H180" s="16"/>
      <x:c r="I180" s="16"/>
      <x:c r="J180" s="18"/>
      <x:c r="K180" s="16"/>
      <x:c r="L180" s="16"/>
    </x:row>
    <x:row r="181" ht="25" customHeight="1">
      <x:c r="A181" s="16"/>
      <x:c r="B181" s="16"/>
      <x:c r="C181" s="18"/>
      <x:c r="D181" s="19"/>
      <x:c r="E181" s="16"/>
      <x:c r="F181" s="16"/>
      <x:c r="G181" s="16"/>
      <x:c r="H181" s="16"/>
      <x:c r="I181" s="16"/>
      <x:c r="J181" s="18"/>
      <x:c r="K181" s="16"/>
      <x:c r="L181" s="16"/>
    </x:row>
    <x:row r="182" ht="25" customHeight="1">
      <x:c r="A182" s="16"/>
      <x:c r="B182" s="16"/>
      <x:c r="C182" s="18"/>
      <x:c r="D182" s="19"/>
      <x:c r="E182" s="16"/>
      <x:c r="F182" s="16"/>
      <x:c r="G182" s="16"/>
      <x:c r="H182" s="16"/>
      <x:c r="I182" s="16"/>
      <x:c r="J182" s="18"/>
      <x:c r="K182" s="16"/>
      <x:c r="L182" s="16"/>
    </x:row>
    <x:row r="183" ht="25" customHeight="1">
      <x:c r="A183" s="16"/>
      <x:c r="B183" s="16"/>
      <x:c r="C183" s="18"/>
      <x:c r="D183" s="19"/>
      <x:c r="E183" s="16"/>
      <x:c r="F183" s="16"/>
      <x:c r="G183" s="16"/>
      <x:c r="H183" s="16"/>
      <x:c r="I183" s="16"/>
      <x:c r="J183" s="18"/>
      <x:c r="K183" s="16"/>
      <x:c r="L183" s="16"/>
    </x:row>
    <x:row r="184" ht="25" customHeight="1">
      <x:c r="A184" s="16"/>
      <x:c r="B184" s="16"/>
      <x:c r="C184" s="18"/>
      <x:c r="D184" s="19"/>
      <x:c r="E184" s="16"/>
      <x:c r="F184" s="16"/>
      <x:c r="G184" s="16"/>
      <x:c r="H184" s="16"/>
      <x:c r="I184" s="16"/>
      <x:c r="J184" s="18"/>
      <x:c r="K184" s="16"/>
      <x:c r="L184" s="16"/>
    </x:row>
    <x:row r="185" ht="25" customHeight="1">
      <x:c r="A185" s="16"/>
      <x:c r="B185" s="16"/>
      <x:c r="C185" s="18"/>
      <x:c r="D185" s="19"/>
      <x:c r="E185" s="16"/>
      <x:c r="F185" s="16"/>
      <x:c r="G185" s="16"/>
      <x:c r="H185" s="16"/>
      <x:c r="I185" s="16"/>
      <x:c r="J185" s="18"/>
      <x:c r="K185" s="16"/>
      <x:c r="L185" s="16"/>
    </x:row>
    <x:row r="186" ht="25" customHeight="1">
      <x:c r="A186" s="16"/>
      <x:c r="B186" s="16"/>
      <x:c r="C186" s="18"/>
      <x:c r="D186" s="19"/>
      <x:c r="E186" s="16"/>
      <x:c r="F186" s="16"/>
      <x:c r="G186" s="16"/>
      <x:c r="H186" s="16"/>
      <x:c r="I186" s="16"/>
      <x:c r="J186" s="18"/>
      <x:c r="K186" s="16"/>
      <x:c r="L186" s="16"/>
    </x:row>
    <x:row r="187" ht="25" customHeight="1">
      <x:c r="A187" s="16"/>
      <x:c r="B187" s="16"/>
      <x:c r="C187" s="18"/>
      <x:c r="D187" s="19"/>
      <x:c r="E187" s="16"/>
      <x:c r="F187" s="16"/>
      <x:c r="G187" s="16"/>
      <x:c r="H187" s="16"/>
      <x:c r="I187" s="16"/>
      <x:c r="J187" s="18"/>
      <x:c r="K187" s="16"/>
      <x:c r="L187" s="16"/>
    </x:row>
    <x:row r="188" ht="25" customHeight="1">
      <x:c r="A188" s="16"/>
      <x:c r="B188" s="16"/>
      <x:c r="C188" s="18"/>
      <x:c r="D188" s="19"/>
      <x:c r="E188" s="16"/>
      <x:c r="F188" s="16"/>
      <x:c r="G188" s="16"/>
      <x:c r="H188" s="16"/>
      <x:c r="I188" s="16"/>
      <x:c r="J188" s="18"/>
      <x:c r="K188" s="16"/>
      <x:c r="L188" s="16"/>
    </x:row>
    <x:row r="189" ht="25" customHeight="1">
      <x:c r="A189" s="16"/>
      <x:c r="B189" s="16"/>
      <x:c r="C189" s="18"/>
      <x:c r="D189" s="19"/>
      <x:c r="E189" s="16"/>
      <x:c r="F189" s="16"/>
      <x:c r="G189" s="16"/>
      <x:c r="H189" s="16"/>
      <x:c r="I189" s="16"/>
      <x:c r="J189" s="18"/>
      <x:c r="K189" s="16"/>
      <x:c r="L189" s="16"/>
    </x:row>
    <x:row r="190" ht="25" customHeight="1">
      <x:c r="A190" s="16"/>
      <x:c r="B190" s="16"/>
      <x:c r="C190" s="18"/>
      <x:c r="D190" s="19"/>
      <x:c r="E190" s="16"/>
      <x:c r="F190" s="16"/>
      <x:c r="G190" s="16"/>
      <x:c r="H190" s="16"/>
      <x:c r="I190" s="16"/>
      <x:c r="J190" s="18"/>
      <x:c r="K190" s="16"/>
      <x:c r="L190" s="16"/>
    </x:row>
    <x:row r="191" ht="25" customHeight="1">
      <x:c r="A191" s="16"/>
      <x:c r="B191" s="16"/>
      <x:c r="C191" s="18"/>
      <x:c r="D191" s="19"/>
      <x:c r="E191" s="16"/>
      <x:c r="F191" s="16"/>
      <x:c r="G191" s="16"/>
      <x:c r="H191" s="16"/>
      <x:c r="I191" s="16"/>
      <x:c r="J191" s="18"/>
      <x:c r="K191" s="16"/>
      <x:c r="L191" s="16"/>
    </x:row>
    <x:row r="192" ht="25" customHeight="1">
      <x:c r="A192" s="16"/>
      <x:c r="B192" s="16"/>
      <x:c r="C192" s="18"/>
      <x:c r="D192" s="19"/>
      <x:c r="E192" s="16"/>
      <x:c r="F192" s="16"/>
      <x:c r="G192" s="16"/>
      <x:c r="H192" s="16"/>
      <x:c r="I192" s="16"/>
      <x:c r="J192" s="18"/>
      <x:c r="K192" s="16"/>
      <x:c r="L192" s="16"/>
    </x:row>
    <x:row r="193" ht="25" customHeight="1">
      <x:c r="A193" s="16"/>
      <x:c r="B193" s="16"/>
      <x:c r="C193" s="18"/>
      <x:c r="D193" s="19"/>
      <x:c r="E193" s="16"/>
      <x:c r="F193" s="16"/>
      <x:c r="G193" s="16"/>
      <x:c r="H193" s="16"/>
      <x:c r="I193" s="16"/>
      <x:c r="J193" s="18"/>
      <x:c r="K193" s="16"/>
      <x:c r="L193" s="16"/>
    </x:row>
    <x:row r="194" ht="25" customHeight="1">
      <x:c r="A194" s="16"/>
      <x:c r="B194" s="16"/>
      <x:c r="C194" s="18"/>
      <x:c r="D194" s="19"/>
      <x:c r="E194" s="16"/>
      <x:c r="F194" s="16"/>
      <x:c r="G194" s="16"/>
      <x:c r="H194" s="16"/>
      <x:c r="I194" s="16"/>
      <x:c r="J194" s="18"/>
      <x:c r="K194" s="16"/>
      <x:c r="L194" s="16"/>
    </x:row>
    <x:row r="195" ht="25" customHeight="1">
      <x:c r="A195" s="16"/>
      <x:c r="B195" s="16"/>
      <x:c r="C195" s="18"/>
      <x:c r="D195" s="19"/>
      <x:c r="E195" s="16"/>
      <x:c r="F195" s="16"/>
      <x:c r="G195" s="16"/>
      <x:c r="H195" s="16"/>
      <x:c r="I195" s="16"/>
      <x:c r="J195" s="18"/>
      <x:c r="K195" s="16"/>
      <x:c r="L195" s="16"/>
    </x:row>
    <x:row r="196" ht="25" customHeight="1">
      <x:c r="A196" s="16"/>
      <x:c r="B196" s="16"/>
      <x:c r="C196" s="18"/>
      <x:c r="D196" s="19"/>
      <x:c r="E196" s="16"/>
      <x:c r="F196" s="16"/>
      <x:c r="G196" s="16"/>
      <x:c r="H196" s="16"/>
      <x:c r="I196" s="16"/>
      <x:c r="J196" s="18"/>
      <x:c r="K196" s="16"/>
      <x:c r="L196" s="16"/>
    </x:row>
    <x:row r="197" ht="25" customHeight="1">
      <x:c r="A197" s="16"/>
      <x:c r="B197" s="16"/>
      <x:c r="C197" s="18"/>
      <x:c r="D197" s="19"/>
      <x:c r="E197" s="16"/>
      <x:c r="F197" s="16"/>
      <x:c r="G197" s="16"/>
      <x:c r="H197" s="16"/>
      <x:c r="I197" s="16"/>
      <x:c r="J197" s="18"/>
      <x:c r="K197" s="16"/>
      <x:c r="L197" s="16"/>
    </x:row>
    <x:row r="198" ht="25" customHeight="1">
      <x:c r="A198" s="16"/>
      <x:c r="B198" s="16"/>
      <x:c r="C198" s="18"/>
      <x:c r="D198" s="19"/>
      <x:c r="E198" s="16"/>
      <x:c r="F198" s="16"/>
      <x:c r="G198" s="16"/>
      <x:c r="H198" s="16"/>
      <x:c r="I198" s="16"/>
      <x:c r="J198" s="18"/>
      <x:c r="K198" s="16"/>
      <x:c r="L198" s="16"/>
    </x:row>
    <x:row r="199" ht="25" customHeight="1">
      <x:c r="A199" s="16"/>
      <x:c r="B199" s="16"/>
      <x:c r="C199" s="18"/>
      <x:c r="D199" s="19"/>
      <x:c r="E199" s="16"/>
      <x:c r="F199" s="16"/>
      <x:c r="G199" s="16"/>
      <x:c r="H199" s="16"/>
      <x:c r="I199" s="16"/>
      <x:c r="J199" s="18"/>
      <x:c r="K199" s="16"/>
      <x:c r="L199" s="16"/>
    </x:row>
    <x:row r="200" ht="25" customHeight="1">
      <x:c r="A200" s="16"/>
      <x:c r="B200" s="16"/>
      <x:c r="C200" s="18"/>
      <x:c r="D200" s="19"/>
      <x:c r="E200" s="16"/>
      <x:c r="F200" s="16"/>
      <x:c r="G200" s="16"/>
      <x:c r="H200" s="16"/>
      <x:c r="I200" s="16"/>
      <x:c r="J200" s="18"/>
      <x:c r="K200" s="16"/>
      <x:c r="L200" s="16"/>
    </x:row>
    <x:row r="201" ht="25" customHeight="1">
      <x:c r="A201" s="16"/>
      <x:c r="B201" s="16"/>
      <x:c r="C201" s="18"/>
      <x:c r="D201" s="19"/>
      <x:c r="E201" s="16"/>
      <x:c r="F201" s="16"/>
      <x:c r="G201" s="16"/>
      <x:c r="H201" s="16"/>
      <x:c r="I201" s="16"/>
      <x:c r="J201" s="18"/>
      <x:c r="K201" s="16"/>
      <x:c r="L201" s="16"/>
    </x:row>
    <x:row r="202" ht="25" customHeight="1">
      <x:c r="A202" s="16"/>
      <x:c r="B202" s="16"/>
      <x:c r="C202" s="18"/>
      <x:c r="D202" s="19"/>
      <x:c r="E202" s="16"/>
      <x:c r="F202" s="16"/>
      <x:c r="G202" s="16"/>
      <x:c r="H202" s="16"/>
      <x:c r="I202" s="16"/>
      <x:c r="J202" s="18"/>
      <x:c r="K202" s="16"/>
      <x:c r="L202" s="16"/>
    </x:row>
    <x:row r="203" ht="25" customHeight="1">
      <x:c r="A203" s="16"/>
      <x:c r="B203" s="16"/>
      <x:c r="C203" s="18"/>
      <x:c r="D203" s="19"/>
      <x:c r="E203" s="16"/>
      <x:c r="F203" s="16"/>
      <x:c r="G203" s="16"/>
      <x:c r="H203" s="16"/>
      <x:c r="I203" s="16"/>
      <x:c r="J203" s="18"/>
      <x:c r="K203" s="16"/>
      <x:c r="L203" s="16"/>
    </x:row>
    <x:row r="204" ht="25" customHeight="1">
      <x:c r="A204" s="16"/>
      <x:c r="B204" s="16"/>
      <x:c r="C204" s="18"/>
      <x:c r="D204" s="19"/>
      <x:c r="E204" s="16"/>
      <x:c r="F204" s="16"/>
      <x:c r="G204" s="16"/>
      <x:c r="H204" s="16"/>
      <x:c r="I204" s="16"/>
      <x:c r="J204" s="18"/>
      <x:c r="K204" s="16"/>
      <x:c r="L204" s="16"/>
    </x:row>
    <x:row r="205" ht="25" customHeight="1">
      <x:c r="A205" s="16"/>
      <x:c r="B205" s="16"/>
      <x:c r="C205" s="18"/>
      <x:c r="D205" s="19"/>
      <x:c r="E205" s="16"/>
      <x:c r="F205" s="16"/>
      <x:c r="G205" s="16"/>
      <x:c r="H205" s="16"/>
      <x:c r="I205" s="16"/>
      <x:c r="J205" s="18"/>
      <x:c r="K205" s="16"/>
      <x:c r="L205" s="16"/>
    </x:row>
    <x:row r="206" ht="25" customHeight="1">
      <x:c r="A206" s="20"/>
      <x:c r="B206" s="20"/>
      <x:c r="C206" s="22"/>
      <x:c r="D206" s="23"/>
      <x:c r="E206" s="20"/>
      <x:c r="F206" s="20"/>
      <x:c r="G206" s="20"/>
      <x:c r="H206" s="20"/>
      <x:c r="I206" s="20"/>
      <x:c r="J206" s="22"/>
      <x:c r="K206" s="20"/>
      <x:c r="L206" s="20"/>
    </x:row>
  </x:sheetData>
  <x:dataValidations count="3">
    <x:dataValidation type="decimal" operator="greaterThanOrEqual" sqref="D7:D206">
      <x:formula1>0</x:formula1>
    </x:dataValidation>
    <x:dataValidation type="list" sqref="F7:F206">
      <x:formula1>"cash,bank_transfer,upi,card,cheque"</x:formula1>
    </x:dataValidation>
    <x:dataValidation type="list" sqref="H7:H206">
      <x:formula1>"pending,settled,failed"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43ddd5009845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22" hidden="0" customWidth="1"/>
  </x:cols>
  <x:sheetData>
    <x:row r="1" ht="12" customHeight="1">
      <x:c r="A1" s="3"/>
      <x:c r="B1" s="3"/>
      <x:c r="C1" s="3"/>
      <x:c r="D1" s="3"/>
      <x:c r="E1" s="3"/>
      <x:c r="F1" s="3"/>
    </x:row>
    <x:row r="2" ht="30" customHeight="1">
      <x:c r="A2" s="4" t="str">
        <x:v>Allocations</x:v>
      </x:c>
      <x:c r="B2" s="3"/>
      <x:c r="C2" s="3"/>
      <x:c r="D2" s="3"/>
      <x:c r="E2" s="3"/>
      <x:c r="F2" s="3"/>
    </x:row>
    <x:row r="3" ht="25" customHeight="1">
      <x:c r="A3" s="3" t="str">
        <x:v>One row per payment-to-charge allocation.</x:v>
      </x:c>
      <x:c r="B3" s="3"/>
      <x:c r="C3" s="3"/>
      <x:c r="D3" s="3"/>
      <x:c r="E3" s="3"/>
      <x:c r="F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</x:row>
    <x:row r="5" ht="24" customHeight="1">
      <x:c r="A5" s="7" t="str">
        <x:v>Identity</x:v>
      </x:c>
      <x:c r="B5" s="7" t="str">
        <x:v>Link</x:v>
      </x:c>
      <x:c r="C5" s="7"/>
      <x:c r="D5" s="7" t="str">
        <x:v>Amount</x:v>
      </x:c>
      <x:c r="E5" s="7" t="str">
        <x:v>Notes</x:v>
      </x:c>
      <x:c r="F5" s="7" t="str">
        <x:v>Calculated</x:v>
      </x:c>
    </x:row>
    <x:row r="6" ht="46" customHeight="1">
      <x:c r="A6" s="28" t="str">
        <x:v>Allocation code *</x:v>
      </x:c>
      <x:c r="B6" s="29" t="str">
        <x:v>Payment code *</x:v>
      </x:c>
      <x:c r="C6" s="29" t="str">
        <x:v>Charge code *</x:v>
      </x:c>
      <x:c r="D6" s="29" t="str">
        <x:v>Allocated amount *</x:v>
      </x:c>
      <x:c r="E6" s="29" t="str">
        <x:v>Allocation notes</x:v>
      </x:c>
      <x:c r="F6" s="30" t="str">
        <x:v>Settled allocated amount</x:v>
      </x:c>
    </x:row>
    <x:row r="7" ht="25" customHeight="1">
      <x:c r="A7" s="12"/>
      <x:c r="B7" s="12"/>
      <x:c r="C7" s="12"/>
      <x:c r="D7" s="15"/>
      <x:c r="E7" s="12"/>
      <x:c r="F7" s="31" t="str">
        <x:f>IF(A7="","",IF(OR(B7="",C7="",NOT(ISNUMBER(D7))),"Review allocation",IF(COUNTIF(Payments!$A$7:$A$206,B7)&lt;&gt;1,"Review allocation",IF(COUNTIFS(Payments!$A$7:$A$206,B7,Payments!$H$7:$H$206,"settled")=1,D7,IF(OR(COUNTIFS(Payments!$A$7:$A$206,B7,Payments!$H$7:$H$206,"pending")=1,COUNTIFS(Payments!$A$7:$A$206,B7,Payments!$H$7:$H$206,"failed")=1),0,"Review allocation")))))</x:f>
      </x:c>
    </x:row>
    <x:row r="8" ht="25" customHeight="1">
      <x:c r="A8" s="16"/>
      <x:c r="B8" s="16"/>
      <x:c r="C8" s="16"/>
      <x:c r="D8" s="19"/>
      <x:c r="E8" s="16"/>
      <x:c r="F8" s="32" t="str">
        <x:f>IF(A8="","",IF(OR(B8="",C8="",NOT(ISNUMBER(D8))),"Review allocation",IF(COUNTIF(Payments!$A$7:$A$206,B8)&lt;&gt;1,"Review allocation",IF(COUNTIFS(Payments!$A$7:$A$206,B8,Payments!$H$7:$H$206,"settled")=1,D8,IF(OR(COUNTIFS(Payments!$A$7:$A$206,B8,Payments!$H$7:$H$206,"pending")=1,COUNTIFS(Payments!$A$7:$A$206,B8,Payments!$H$7:$H$206,"failed")=1),0,"Review allocation")))))</x:f>
      </x:c>
    </x:row>
    <x:row r="9" ht="25" customHeight="1">
      <x:c r="A9" s="16"/>
      <x:c r="B9" s="16"/>
      <x:c r="C9" s="16"/>
      <x:c r="D9" s="19"/>
      <x:c r="E9" s="16"/>
      <x:c r="F9" s="32" t="str">
        <x:f>IF(A9="","",IF(OR(B9="",C9="",NOT(ISNUMBER(D9))),"Review allocation",IF(COUNTIF(Payments!$A$7:$A$206,B9)&lt;&gt;1,"Review allocation",IF(COUNTIFS(Payments!$A$7:$A$206,B9,Payments!$H$7:$H$206,"settled")=1,D9,IF(OR(COUNTIFS(Payments!$A$7:$A$206,B9,Payments!$H$7:$H$206,"pending")=1,COUNTIFS(Payments!$A$7:$A$206,B9,Payments!$H$7:$H$206,"failed")=1),0,"Review allocation")))))</x:f>
      </x:c>
    </x:row>
    <x:row r="10" ht="25" customHeight="1">
      <x:c r="A10" s="16"/>
      <x:c r="B10" s="16"/>
      <x:c r="C10" s="16"/>
      <x:c r="D10" s="19"/>
      <x:c r="E10" s="16"/>
      <x:c r="F10" s="32" t="str">
        <x:f>IF(A10="","",IF(OR(B10="",C10="",NOT(ISNUMBER(D10))),"Review allocation",IF(COUNTIF(Payments!$A$7:$A$206,B10)&lt;&gt;1,"Review allocation",IF(COUNTIFS(Payments!$A$7:$A$206,B10,Payments!$H$7:$H$206,"settled")=1,D10,IF(OR(COUNTIFS(Payments!$A$7:$A$206,B10,Payments!$H$7:$H$206,"pending")=1,COUNTIFS(Payments!$A$7:$A$206,B10,Payments!$H$7:$H$206,"failed")=1),0,"Review allocation")))))</x:f>
      </x:c>
    </x:row>
    <x:row r="11" ht="25" customHeight="1">
      <x:c r="A11" s="16"/>
      <x:c r="B11" s="16"/>
      <x:c r="C11" s="16"/>
      <x:c r="D11" s="19"/>
      <x:c r="E11" s="16"/>
      <x:c r="F11" s="32" t="str">
        <x:f>IF(A11="","",IF(OR(B11="",C11="",NOT(ISNUMBER(D11))),"Review allocation",IF(COUNTIF(Payments!$A$7:$A$206,B11)&lt;&gt;1,"Review allocation",IF(COUNTIFS(Payments!$A$7:$A$206,B11,Payments!$H$7:$H$206,"settled")=1,D11,IF(OR(COUNTIFS(Payments!$A$7:$A$206,B11,Payments!$H$7:$H$206,"pending")=1,COUNTIFS(Payments!$A$7:$A$206,B11,Payments!$H$7:$H$206,"failed")=1),0,"Review allocation")))))</x:f>
      </x:c>
    </x:row>
    <x:row r="12" ht="25" customHeight="1">
      <x:c r="A12" s="16"/>
      <x:c r="B12" s="16"/>
      <x:c r="C12" s="16"/>
      <x:c r="D12" s="19"/>
      <x:c r="E12" s="16"/>
      <x:c r="F12" s="32" t="str">
        <x:f>IF(A12="","",IF(OR(B12="",C12="",NOT(ISNUMBER(D12))),"Review allocation",IF(COUNTIF(Payments!$A$7:$A$206,B12)&lt;&gt;1,"Review allocation",IF(COUNTIFS(Payments!$A$7:$A$206,B12,Payments!$H$7:$H$206,"settled")=1,D12,IF(OR(COUNTIFS(Payments!$A$7:$A$206,B12,Payments!$H$7:$H$206,"pending")=1,COUNTIFS(Payments!$A$7:$A$206,B12,Payments!$H$7:$H$206,"failed")=1),0,"Review allocation")))))</x:f>
      </x:c>
    </x:row>
    <x:row r="13" ht="25" customHeight="1">
      <x:c r="A13" s="16"/>
      <x:c r="B13" s="16"/>
      <x:c r="C13" s="16"/>
      <x:c r="D13" s="19"/>
      <x:c r="E13" s="16"/>
      <x:c r="F13" s="32" t="str">
        <x:f>IF(A13="","",IF(OR(B13="",C13="",NOT(ISNUMBER(D13))),"Review allocation",IF(COUNTIF(Payments!$A$7:$A$206,B13)&lt;&gt;1,"Review allocation",IF(COUNTIFS(Payments!$A$7:$A$206,B13,Payments!$H$7:$H$206,"settled")=1,D13,IF(OR(COUNTIFS(Payments!$A$7:$A$206,B13,Payments!$H$7:$H$206,"pending")=1,COUNTIFS(Payments!$A$7:$A$206,B13,Payments!$H$7:$H$206,"failed")=1),0,"Review allocation")))))</x:f>
      </x:c>
    </x:row>
    <x:row r="14" ht="25" customHeight="1">
      <x:c r="A14" s="16"/>
      <x:c r="B14" s="16"/>
      <x:c r="C14" s="16"/>
      <x:c r="D14" s="19"/>
      <x:c r="E14" s="16"/>
      <x:c r="F14" s="32" t="str">
        <x:f>IF(A14="","",IF(OR(B14="",C14="",NOT(ISNUMBER(D14))),"Review allocation",IF(COUNTIF(Payments!$A$7:$A$206,B14)&lt;&gt;1,"Review allocation",IF(COUNTIFS(Payments!$A$7:$A$206,B14,Payments!$H$7:$H$206,"settled")=1,D14,IF(OR(COUNTIFS(Payments!$A$7:$A$206,B14,Payments!$H$7:$H$206,"pending")=1,COUNTIFS(Payments!$A$7:$A$206,B14,Payments!$H$7:$H$206,"failed")=1),0,"Review allocation")))))</x:f>
      </x:c>
    </x:row>
    <x:row r="15" ht="25" customHeight="1">
      <x:c r="A15" s="16"/>
      <x:c r="B15" s="16"/>
      <x:c r="C15" s="16"/>
      <x:c r="D15" s="19"/>
      <x:c r="E15" s="16"/>
      <x:c r="F15" s="32" t="str">
        <x:f>IF(A15="","",IF(OR(B15="",C15="",NOT(ISNUMBER(D15))),"Review allocation",IF(COUNTIF(Payments!$A$7:$A$206,B15)&lt;&gt;1,"Review allocation",IF(COUNTIFS(Payments!$A$7:$A$206,B15,Payments!$H$7:$H$206,"settled")=1,D15,IF(OR(COUNTIFS(Payments!$A$7:$A$206,B15,Payments!$H$7:$H$206,"pending")=1,COUNTIFS(Payments!$A$7:$A$206,B15,Payments!$H$7:$H$206,"failed")=1),0,"Review allocation")))))</x:f>
      </x:c>
    </x:row>
    <x:row r="16" ht="25" customHeight="1">
      <x:c r="A16" s="16"/>
      <x:c r="B16" s="16"/>
      <x:c r="C16" s="16"/>
      <x:c r="D16" s="19"/>
      <x:c r="E16" s="16"/>
      <x:c r="F16" s="32" t="str">
        <x:f>IF(A16="","",IF(OR(B16="",C16="",NOT(ISNUMBER(D16))),"Review allocation",IF(COUNTIF(Payments!$A$7:$A$206,B16)&lt;&gt;1,"Review allocation",IF(COUNTIFS(Payments!$A$7:$A$206,B16,Payments!$H$7:$H$206,"settled")=1,D16,IF(OR(COUNTIFS(Payments!$A$7:$A$206,B16,Payments!$H$7:$H$206,"pending")=1,COUNTIFS(Payments!$A$7:$A$206,B16,Payments!$H$7:$H$206,"failed")=1),0,"Review allocation")))))</x:f>
      </x:c>
    </x:row>
    <x:row r="17" ht="25" customHeight="1">
      <x:c r="A17" s="16"/>
      <x:c r="B17" s="16"/>
      <x:c r="C17" s="16"/>
      <x:c r="D17" s="19"/>
      <x:c r="E17" s="16"/>
      <x:c r="F17" s="32" t="str">
        <x:f>IF(A17="","",IF(OR(B17="",C17="",NOT(ISNUMBER(D17))),"Review allocation",IF(COUNTIF(Payments!$A$7:$A$206,B17)&lt;&gt;1,"Review allocation",IF(COUNTIFS(Payments!$A$7:$A$206,B17,Payments!$H$7:$H$206,"settled")=1,D17,IF(OR(COUNTIFS(Payments!$A$7:$A$206,B17,Payments!$H$7:$H$206,"pending")=1,COUNTIFS(Payments!$A$7:$A$206,B17,Payments!$H$7:$H$206,"failed")=1),0,"Review allocation")))))</x:f>
      </x:c>
    </x:row>
    <x:row r="18" ht="25" customHeight="1">
      <x:c r="A18" s="16"/>
      <x:c r="B18" s="16"/>
      <x:c r="C18" s="16"/>
      <x:c r="D18" s="19"/>
      <x:c r="E18" s="16"/>
      <x:c r="F18" s="32" t="str">
        <x:f>IF(A18="","",IF(OR(B18="",C18="",NOT(ISNUMBER(D18))),"Review allocation",IF(COUNTIF(Payments!$A$7:$A$206,B18)&lt;&gt;1,"Review allocation",IF(COUNTIFS(Payments!$A$7:$A$206,B18,Payments!$H$7:$H$206,"settled")=1,D18,IF(OR(COUNTIFS(Payments!$A$7:$A$206,B18,Payments!$H$7:$H$206,"pending")=1,COUNTIFS(Payments!$A$7:$A$206,B18,Payments!$H$7:$H$206,"failed")=1),0,"Review allocation")))))</x:f>
      </x:c>
    </x:row>
    <x:row r="19" ht="25" customHeight="1">
      <x:c r="A19" s="16"/>
      <x:c r="B19" s="16"/>
      <x:c r="C19" s="16"/>
      <x:c r="D19" s="19"/>
      <x:c r="E19" s="16"/>
      <x:c r="F19" s="32" t="str">
        <x:f>IF(A19="","",IF(OR(B19="",C19="",NOT(ISNUMBER(D19))),"Review allocation",IF(COUNTIF(Payments!$A$7:$A$206,B19)&lt;&gt;1,"Review allocation",IF(COUNTIFS(Payments!$A$7:$A$206,B19,Payments!$H$7:$H$206,"settled")=1,D19,IF(OR(COUNTIFS(Payments!$A$7:$A$206,B19,Payments!$H$7:$H$206,"pending")=1,COUNTIFS(Payments!$A$7:$A$206,B19,Payments!$H$7:$H$206,"failed")=1),0,"Review allocation")))))</x:f>
      </x:c>
    </x:row>
    <x:row r="20" ht="25" customHeight="1">
      <x:c r="A20" s="16"/>
      <x:c r="B20" s="16"/>
      <x:c r="C20" s="16"/>
      <x:c r="D20" s="19"/>
      <x:c r="E20" s="16"/>
      <x:c r="F20" s="32" t="str">
        <x:f>IF(A20="","",IF(OR(B20="",C20="",NOT(ISNUMBER(D20))),"Review allocation",IF(COUNTIF(Payments!$A$7:$A$206,B20)&lt;&gt;1,"Review allocation",IF(COUNTIFS(Payments!$A$7:$A$206,B20,Payments!$H$7:$H$206,"settled")=1,D20,IF(OR(COUNTIFS(Payments!$A$7:$A$206,B20,Payments!$H$7:$H$206,"pending")=1,COUNTIFS(Payments!$A$7:$A$206,B20,Payments!$H$7:$H$206,"failed")=1),0,"Review allocation")))))</x:f>
      </x:c>
    </x:row>
    <x:row r="21" ht="25" customHeight="1">
      <x:c r="A21" s="16"/>
      <x:c r="B21" s="16"/>
      <x:c r="C21" s="16"/>
      <x:c r="D21" s="19"/>
      <x:c r="E21" s="16"/>
      <x:c r="F21" s="32" t="str">
        <x:f>IF(A21="","",IF(OR(B21="",C21="",NOT(ISNUMBER(D21))),"Review allocation",IF(COUNTIF(Payments!$A$7:$A$206,B21)&lt;&gt;1,"Review allocation",IF(COUNTIFS(Payments!$A$7:$A$206,B21,Payments!$H$7:$H$206,"settled")=1,D21,IF(OR(COUNTIFS(Payments!$A$7:$A$206,B21,Payments!$H$7:$H$206,"pending")=1,COUNTIFS(Payments!$A$7:$A$206,B21,Payments!$H$7:$H$206,"failed")=1),0,"Review allocation")))))</x:f>
      </x:c>
    </x:row>
    <x:row r="22" ht="25" customHeight="1">
      <x:c r="A22" s="16"/>
      <x:c r="B22" s="16"/>
      <x:c r="C22" s="16"/>
      <x:c r="D22" s="19"/>
      <x:c r="E22" s="16"/>
      <x:c r="F22" s="32" t="str">
        <x:f>IF(A22="","",IF(OR(B22="",C22="",NOT(ISNUMBER(D22))),"Review allocation",IF(COUNTIF(Payments!$A$7:$A$206,B22)&lt;&gt;1,"Review allocation",IF(COUNTIFS(Payments!$A$7:$A$206,B22,Payments!$H$7:$H$206,"settled")=1,D22,IF(OR(COUNTIFS(Payments!$A$7:$A$206,B22,Payments!$H$7:$H$206,"pending")=1,COUNTIFS(Payments!$A$7:$A$206,B22,Payments!$H$7:$H$206,"failed")=1),0,"Review allocation")))))</x:f>
      </x:c>
    </x:row>
    <x:row r="23" ht="25" customHeight="1">
      <x:c r="A23" s="16"/>
      <x:c r="B23" s="16"/>
      <x:c r="C23" s="16"/>
      <x:c r="D23" s="19"/>
      <x:c r="E23" s="16"/>
      <x:c r="F23" s="32" t="str">
        <x:f>IF(A23="","",IF(OR(B23="",C23="",NOT(ISNUMBER(D23))),"Review allocation",IF(COUNTIF(Payments!$A$7:$A$206,B23)&lt;&gt;1,"Review allocation",IF(COUNTIFS(Payments!$A$7:$A$206,B23,Payments!$H$7:$H$206,"settled")=1,D23,IF(OR(COUNTIFS(Payments!$A$7:$A$206,B23,Payments!$H$7:$H$206,"pending")=1,COUNTIFS(Payments!$A$7:$A$206,B23,Payments!$H$7:$H$206,"failed")=1),0,"Review allocation")))))</x:f>
      </x:c>
    </x:row>
    <x:row r="24" ht="25" customHeight="1">
      <x:c r="A24" s="16"/>
      <x:c r="B24" s="16"/>
      <x:c r="C24" s="16"/>
      <x:c r="D24" s="19"/>
      <x:c r="E24" s="16"/>
      <x:c r="F24" s="32" t="str">
        <x:f>IF(A24="","",IF(OR(B24="",C24="",NOT(ISNUMBER(D24))),"Review allocation",IF(COUNTIF(Payments!$A$7:$A$206,B24)&lt;&gt;1,"Review allocation",IF(COUNTIFS(Payments!$A$7:$A$206,B24,Payments!$H$7:$H$206,"settled")=1,D24,IF(OR(COUNTIFS(Payments!$A$7:$A$206,B24,Payments!$H$7:$H$206,"pending")=1,COUNTIFS(Payments!$A$7:$A$206,B24,Payments!$H$7:$H$206,"failed")=1),0,"Review allocation")))))</x:f>
      </x:c>
    </x:row>
    <x:row r="25" ht="25" customHeight="1">
      <x:c r="A25" s="16"/>
      <x:c r="B25" s="16"/>
      <x:c r="C25" s="16"/>
      <x:c r="D25" s="19"/>
      <x:c r="E25" s="16"/>
      <x:c r="F25" s="32" t="str">
        <x:f>IF(A25="","",IF(OR(B25="",C25="",NOT(ISNUMBER(D25))),"Review allocation",IF(COUNTIF(Payments!$A$7:$A$206,B25)&lt;&gt;1,"Review allocation",IF(COUNTIFS(Payments!$A$7:$A$206,B25,Payments!$H$7:$H$206,"settled")=1,D25,IF(OR(COUNTIFS(Payments!$A$7:$A$206,B25,Payments!$H$7:$H$206,"pending")=1,COUNTIFS(Payments!$A$7:$A$206,B25,Payments!$H$7:$H$206,"failed")=1),0,"Review allocation")))))</x:f>
      </x:c>
    </x:row>
    <x:row r="26" ht="25" customHeight="1">
      <x:c r="A26" s="16"/>
      <x:c r="B26" s="16"/>
      <x:c r="C26" s="16"/>
      <x:c r="D26" s="19"/>
      <x:c r="E26" s="16"/>
      <x:c r="F26" s="32" t="str">
        <x:f>IF(A26="","",IF(OR(B26="",C26="",NOT(ISNUMBER(D26))),"Review allocation",IF(COUNTIF(Payments!$A$7:$A$206,B26)&lt;&gt;1,"Review allocation",IF(COUNTIFS(Payments!$A$7:$A$206,B26,Payments!$H$7:$H$206,"settled")=1,D26,IF(OR(COUNTIFS(Payments!$A$7:$A$206,B26,Payments!$H$7:$H$206,"pending")=1,COUNTIFS(Payments!$A$7:$A$206,B26,Payments!$H$7:$H$206,"failed")=1),0,"Review allocation")))))</x:f>
      </x:c>
    </x:row>
    <x:row r="27" ht="25" customHeight="1">
      <x:c r="A27" s="16"/>
      <x:c r="B27" s="16"/>
      <x:c r="C27" s="16"/>
      <x:c r="D27" s="19"/>
      <x:c r="E27" s="16"/>
      <x:c r="F27" s="32" t="str">
        <x:f>IF(A27="","",IF(OR(B27="",C27="",NOT(ISNUMBER(D27))),"Review allocation",IF(COUNTIF(Payments!$A$7:$A$206,B27)&lt;&gt;1,"Review allocation",IF(COUNTIFS(Payments!$A$7:$A$206,B27,Payments!$H$7:$H$206,"settled")=1,D27,IF(OR(COUNTIFS(Payments!$A$7:$A$206,B27,Payments!$H$7:$H$206,"pending")=1,COUNTIFS(Payments!$A$7:$A$206,B27,Payments!$H$7:$H$206,"failed")=1),0,"Review allocation")))))</x:f>
      </x:c>
    </x:row>
    <x:row r="28" ht="25" customHeight="1">
      <x:c r="A28" s="16"/>
      <x:c r="B28" s="16"/>
      <x:c r="C28" s="16"/>
      <x:c r="D28" s="19"/>
      <x:c r="E28" s="16"/>
      <x:c r="F28" s="32" t="str">
        <x:f>IF(A28="","",IF(OR(B28="",C28="",NOT(ISNUMBER(D28))),"Review allocation",IF(COUNTIF(Payments!$A$7:$A$206,B28)&lt;&gt;1,"Review allocation",IF(COUNTIFS(Payments!$A$7:$A$206,B28,Payments!$H$7:$H$206,"settled")=1,D28,IF(OR(COUNTIFS(Payments!$A$7:$A$206,B28,Payments!$H$7:$H$206,"pending")=1,COUNTIFS(Payments!$A$7:$A$206,B28,Payments!$H$7:$H$206,"failed")=1),0,"Review allocation")))))</x:f>
      </x:c>
    </x:row>
    <x:row r="29" ht="25" customHeight="1">
      <x:c r="A29" s="16"/>
      <x:c r="B29" s="16"/>
      <x:c r="C29" s="16"/>
      <x:c r="D29" s="19"/>
      <x:c r="E29" s="16"/>
      <x:c r="F29" s="32" t="str">
        <x:f>IF(A29="","",IF(OR(B29="",C29="",NOT(ISNUMBER(D29))),"Review allocation",IF(COUNTIF(Payments!$A$7:$A$206,B29)&lt;&gt;1,"Review allocation",IF(COUNTIFS(Payments!$A$7:$A$206,B29,Payments!$H$7:$H$206,"settled")=1,D29,IF(OR(COUNTIFS(Payments!$A$7:$A$206,B29,Payments!$H$7:$H$206,"pending")=1,COUNTIFS(Payments!$A$7:$A$206,B29,Payments!$H$7:$H$206,"failed")=1),0,"Review allocation")))))</x:f>
      </x:c>
    </x:row>
    <x:row r="30" ht="25" customHeight="1">
      <x:c r="A30" s="16"/>
      <x:c r="B30" s="16"/>
      <x:c r="C30" s="16"/>
      <x:c r="D30" s="19"/>
      <x:c r="E30" s="16"/>
      <x:c r="F30" s="32" t="str">
        <x:f>IF(A30="","",IF(OR(B30="",C30="",NOT(ISNUMBER(D30))),"Review allocation",IF(COUNTIF(Payments!$A$7:$A$206,B30)&lt;&gt;1,"Review allocation",IF(COUNTIFS(Payments!$A$7:$A$206,B30,Payments!$H$7:$H$206,"settled")=1,D30,IF(OR(COUNTIFS(Payments!$A$7:$A$206,B30,Payments!$H$7:$H$206,"pending")=1,COUNTIFS(Payments!$A$7:$A$206,B30,Payments!$H$7:$H$206,"failed")=1),0,"Review allocation")))))</x:f>
      </x:c>
    </x:row>
    <x:row r="31" ht="25" customHeight="1">
      <x:c r="A31" s="16"/>
      <x:c r="B31" s="16"/>
      <x:c r="C31" s="16"/>
      <x:c r="D31" s="19"/>
      <x:c r="E31" s="16"/>
      <x:c r="F31" s="32" t="str">
        <x:f>IF(A31="","",IF(OR(B31="",C31="",NOT(ISNUMBER(D31))),"Review allocation",IF(COUNTIF(Payments!$A$7:$A$206,B31)&lt;&gt;1,"Review allocation",IF(COUNTIFS(Payments!$A$7:$A$206,B31,Payments!$H$7:$H$206,"settled")=1,D31,IF(OR(COUNTIFS(Payments!$A$7:$A$206,B31,Payments!$H$7:$H$206,"pending")=1,COUNTIFS(Payments!$A$7:$A$206,B31,Payments!$H$7:$H$206,"failed")=1),0,"Review allocation")))))</x:f>
      </x:c>
    </x:row>
    <x:row r="32" ht="25" customHeight="1">
      <x:c r="A32" s="16"/>
      <x:c r="B32" s="16"/>
      <x:c r="C32" s="16"/>
      <x:c r="D32" s="19"/>
      <x:c r="E32" s="16"/>
      <x:c r="F32" s="32" t="str">
        <x:f>IF(A32="","",IF(OR(B32="",C32="",NOT(ISNUMBER(D32))),"Review allocation",IF(COUNTIF(Payments!$A$7:$A$206,B32)&lt;&gt;1,"Review allocation",IF(COUNTIFS(Payments!$A$7:$A$206,B32,Payments!$H$7:$H$206,"settled")=1,D32,IF(OR(COUNTIFS(Payments!$A$7:$A$206,B32,Payments!$H$7:$H$206,"pending")=1,COUNTIFS(Payments!$A$7:$A$206,B32,Payments!$H$7:$H$206,"failed")=1),0,"Review allocation")))))</x:f>
      </x:c>
    </x:row>
    <x:row r="33" ht="25" customHeight="1">
      <x:c r="A33" s="16"/>
      <x:c r="B33" s="16"/>
      <x:c r="C33" s="16"/>
      <x:c r="D33" s="19"/>
      <x:c r="E33" s="16"/>
      <x:c r="F33" s="32" t="str">
        <x:f>IF(A33="","",IF(OR(B33="",C33="",NOT(ISNUMBER(D33))),"Review allocation",IF(COUNTIF(Payments!$A$7:$A$206,B33)&lt;&gt;1,"Review allocation",IF(COUNTIFS(Payments!$A$7:$A$206,B33,Payments!$H$7:$H$206,"settled")=1,D33,IF(OR(COUNTIFS(Payments!$A$7:$A$206,B33,Payments!$H$7:$H$206,"pending")=1,COUNTIFS(Payments!$A$7:$A$206,B33,Payments!$H$7:$H$206,"failed")=1),0,"Review allocation")))))</x:f>
      </x:c>
    </x:row>
    <x:row r="34" ht="25" customHeight="1">
      <x:c r="A34" s="16"/>
      <x:c r="B34" s="16"/>
      <x:c r="C34" s="16"/>
      <x:c r="D34" s="19"/>
      <x:c r="E34" s="16"/>
      <x:c r="F34" s="32" t="str">
        <x:f>IF(A34="","",IF(OR(B34="",C34="",NOT(ISNUMBER(D34))),"Review allocation",IF(COUNTIF(Payments!$A$7:$A$206,B34)&lt;&gt;1,"Review allocation",IF(COUNTIFS(Payments!$A$7:$A$206,B34,Payments!$H$7:$H$206,"settled")=1,D34,IF(OR(COUNTIFS(Payments!$A$7:$A$206,B34,Payments!$H$7:$H$206,"pending")=1,COUNTIFS(Payments!$A$7:$A$206,B34,Payments!$H$7:$H$206,"failed")=1),0,"Review allocation")))))</x:f>
      </x:c>
    </x:row>
    <x:row r="35" ht="25" customHeight="1">
      <x:c r="A35" s="16"/>
      <x:c r="B35" s="16"/>
      <x:c r="C35" s="16"/>
      <x:c r="D35" s="19"/>
      <x:c r="E35" s="16"/>
      <x:c r="F35" s="32" t="str">
        <x:f>IF(A35="","",IF(OR(B35="",C35="",NOT(ISNUMBER(D35))),"Review allocation",IF(COUNTIF(Payments!$A$7:$A$206,B35)&lt;&gt;1,"Review allocation",IF(COUNTIFS(Payments!$A$7:$A$206,B35,Payments!$H$7:$H$206,"settled")=1,D35,IF(OR(COUNTIFS(Payments!$A$7:$A$206,B35,Payments!$H$7:$H$206,"pending")=1,COUNTIFS(Payments!$A$7:$A$206,B35,Payments!$H$7:$H$206,"failed")=1),0,"Review allocation")))))</x:f>
      </x:c>
    </x:row>
    <x:row r="36" ht="25" customHeight="1">
      <x:c r="A36" s="16"/>
      <x:c r="B36" s="16"/>
      <x:c r="C36" s="16"/>
      <x:c r="D36" s="19"/>
      <x:c r="E36" s="16"/>
      <x:c r="F36" s="32" t="str">
        <x:f>IF(A36="","",IF(OR(B36="",C36="",NOT(ISNUMBER(D36))),"Review allocation",IF(COUNTIF(Payments!$A$7:$A$206,B36)&lt;&gt;1,"Review allocation",IF(COUNTIFS(Payments!$A$7:$A$206,B36,Payments!$H$7:$H$206,"settled")=1,D36,IF(OR(COUNTIFS(Payments!$A$7:$A$206,B36,Payments!$H$7:$H$206,"pending")=1,COUNTIFS(Payments!$A$7:$A$206,B36,Payments!$H$7:$H$206,"failed")=1),0,"Review allocation")))))</x:f>
      </x:c>
    </x:row>
    <x:row r="37" ht="25" customHeight="1">
      <x:c r="A37" s="16"/>
      <x:c r="B37" s="16"/>
      <x:c r="C37" s="16"/>
      <x:c r="D37" s="19"/>
      <x:c r="E37" s="16"/>
      <x:c r="F37" s="32" t="str">
        <x:f>IF(A37="","",IF(OR(B37="",C37="",NOT(ISNUMBER(D37))),"Review allocation",IF(COUNTIF(Payments!$A$7:$A$206,B37)&lt;&gt;1,"Review allocation",IF(COUNTIFS(Payments!$A$7:$A$206,B37,Payments!$H$7:$H$206,"settled")=1,D37,IF(OR(COUNTIFS(Payments!$A$7:$A$206,B37,Payments!$H$7:$H$206,"pending")=1,COUNTIFS(Payments!$A$7:$A$206,B37,Payments!$H$7:$H$206,"failed")=1),0,"Review allocation")))))</x:f>
      </x:c>
    </x:row>
    <x:row r="38" ht="25" customHeight="1">
      <x:c r="A38" s="16"/>
      <x:c r="B38" s="16"/>
      <x:c r="C38" s="16"/>
      <x:c r="D38" s="19"/>
      <x:c r="E38" s="16"/>
      <x:c r="F38" s="32" t="str">
        <x:f>IF(A38="","",IF(OR(B38="",C38="",NOT(ISNUMBER(D38))),"Review allocation",IF(COUNTIF(Payments!$A$7:$A$206,B38)&lt;&gt;1,"Review allocation",IF(COUNTIFS(Payments!$A$7:$A$206,B38,Payments!$H$7:$H$206,"settled")=1,D38,IF(OR(COUNTIFS(Payments!$A$7:$A$206,B38,Payments!$H$7:$H$206,"pending")=1,COUNTIFS(Payments!$A$7:$A$206,B38,Payments!$H$7:$H$206,"failed")=1),0,"Review allocation")))))</x:f>
      </x:c>
    </x:row>
    <x:row r="39" ht="25" customHeight="1">
      <x:c r="A39" s="16"/>
      <x:c r="B39" s="16"/>
      <x:c r="C39" s="16"/>
      <x:c r="D39" s="19"/>
      <x:c r="E39" s="16"/>
      <x:c r="F39" s="32" t="str">
        <x:f>IF(A39="","",IF(OR(B39="",C39="",NOT(ISNUMBER(D39))),"Review allocation",IF(COUNTIF(Payments!$A$7:$A$206,B39)&lt;&gt;1,"Review allocation",IF(COUNTIFS(Payments!$A$7:$A$206,B39,Payments!$H$7:$H$206,"settled")=1,D39,IF(OR(COUNTIFS(Payments!$A$7:$A$206,B39,Payments!$H$7:$H$206,"pending")=1,COUNTIFS(Payments!$A$7:$A$206,B39,Payments!$H$7:$H$206,"failed")=1),0,"Review allocation")))))</x:f>
      </x:c>
    </x:row>
    <x:row r="40" ht="25" customHeight="1">
      <x:c r="A40" s="16"/>
      <x:c r="B40" s="16"/>
      <x:c r="C40" s="16"/>
      <x:c r="D40" s="19"/>
      <x:c r="E40" s="16"/>
      <x:c r="F40" s="32" t="str">
        <x:f>IF(A40="","",IF(OR(B40="",C40="",NOT(ISNUMBER(D40))),"Review allocation",IF(COUNTIF(Payments!$A$7:$A$206,B40)&lt;&gt;1,"Review allocation",IF(COUNTIFS(Payments!$A$7:$A$206,B40,Payments!$H$7:$H$206,"settled")=1,D40,IF(OR(COUNTIFS(Payments!$A$7:$A$206,B40,Payments!$H$7:$H$206,"pending")=1,COUNTIFS(Payments!$A$7:$A$206,B40,Payments!$H$7:$H$206,"failed")=1),0,"Review allocation")))))</x:f>
      </x:c>
    </x:row>
    <x:row r="41" ht="25" customHeight="1">
      <x:c r="A41" s="16"/>
      <x:c r="B41" s="16"/>
      <x:c r="C41" s="16"/>
      <x:c r="D41" s="19"/>
      <x:c r="E41" s="16"/>
      <x:c r="F41" s="32" t="str">
        <x:f>IF(A41="","",IF(OR(B41="",C41="",NOT(ISNUMBER(D41))),"Review allocation",IF(COUNTIF(Payments!$A$7:$A$206,B41)&lt;&gt;1,"Review allocation",IF(COUNTIFS(Payments!$A$7:$A$206,B41,Payments!$H$7:$H$206,"settled")=1,D41,IF(OR(COUNTIFS(Payments!$A$7:$A$206,B41,Payments!$H$7:$H$206,"pending")=1,COUNTIFS(Payments!$A$7:$A$206,B41,Payments!$H$7:$H$206,"failed")=1),0,"Review allocation")))))</x:f>
      </x:c>
    </x:row>
    <x:row r="42" ht="25" customHeight="1">
      <x:c r="A42" s="16"/>
      <x:c r="B42" s="16"/>
      <x:c r="C42" s="16"/>
      <x:c r="D42" s="19"/>
      <x:c r="E42" s="16"/>
      <x:c r="F42" s="32" t="str">
        <x:f>IF(A42="","",IF(OR(B42="",C42="",NOT(ISNUMBER(D42))),"Review allocation",IF(COUNTIF(Payments!$A$7:$A$206,B42)&lt;&gt;1,"Review allocation",IF(COUNTIFS(Payments!$A$7:$A$206,B42,Payments!$H$7:$H$206,"settled")=1,D42,IF(OR(COUNTIFS(Payments!$A$7:$A$206,B42,Payments!$H$7:$H$206,"pending")=1,COUNTIFS(Payments!$A$7:$A$206,B42,Payments!$H$7:$H$206,"failed")=1),0,"Review allocation")))))</x:f>
      </x:c>
    </x:row>
    <x:row r="43" ht="25" customHeight="1">
      <x:c r="A43" s="16"/>
      <x:c r="B43" s="16"/>
      <x:c r="C43" s="16"/>
      <x:c r="D43" s="19"/>
      <x:c r="E43" s="16"/>
      <x:c r="F43" s="32" t="str">
        <x:f>IF(A43="","",IF(OR(B43="",C43="",NOT(ISNUMBER(D43))),"Review allocation",IF(COUNTIF(Payments!$A$7:$A$206,B43)&lt;&gt;1,"Review allocation",IF(COUNTIFS(Payments!$A$7:$A$206,B43,Payments!$H$7:$H$206,"settled")=1,D43,IF(OR(COUNTIFS(Payments!$A$7:$A$206,B43,Payments!$H$7:$H$206,"pending")=1,COUNTIFS(Payments!$A$7:$A$206,B43,Payments!$H$7:$H$206,"failed")=1),0,"Review allocation")))))</x:f>
      </x:c>
    </x:row>
    <x:row r="44" ht="25" customHeight="1">
      <x:c r="A44" s="16"/>
      <x:c r="B44" s="16"/>
      <x:c r="C44" s="16"/>
      <x:c r="D44" s="19"/>
      <x:c r="E44" s="16"/>
      <x:c r="F44" s="32" t="str">
        <x:f>IF(A44="","",IF(OR(B44="",C44="",NOT(ISNUMBER(D44))),"Review allocation",IF(COUNTIF(Payments!$A$7:$A$206,B44)&lt;&gt;1,"Review allocation",IF(COUNTIFS(Payments!$A$7:$A$206,B44,Payments!$H$7:$H$206,"settled")=1,D44,IF(OR(COUNTIFS(Payments!$A$7:$A$206,B44,Payments!$H$7:$H$206,"pending")=1,COUNTIFS(Payments!$A$7:$A$206,B44,Payments!$H$7:$H$206,"failed")=1),0,"Review allocation")))))</x:f>
      </x:c>
    </x:row>
    <x:row r="45" ht="25" customHeight="1">
      <x:c r="A45" s="16"/>
      <x:c r="B45" s="16"/>
      <x:c r="C45" s="16"/>
      <x:c r="D45" s="19"/>
      <x:c r="E45" s="16"/>
      <x:c r="F45" s="32" t="str">
        <x:f>IF(A45="","",IF(OR(B45="",C45="",NOT(ISNUMBER(D45))),"Review allocation",IF(COUNTIF(Payments!$A$7:$A$206,B45)&lt;&gt;1,"Review allocation",IF(COUNTIFS(Payments!$A$7:$A$206,B45,Payments!$H$7:$H$206,"settled")=1,D45,IF(OR(COUNTIFS(Payments!$A$7:$A$206,B45,Payments!$H$7:$H$206,"pending")=1,COUNTIFS(Payments!$A$7:$A$206,B45,Payments!$H$7:$H$206,"failed")=1),0,"Review allocation")))))</x:f>
      </x:c>
    </x:row>
    <x:row r="46" ht="25" customHeight="1">
      <x:c r="A46" s="16"/>
      <x:c r="B46" s="16"/>
      <x:c r="C46" s="16"/>
      <x:c r="D46" s="19"/>
      <x:c r="E46" s="16"/>
      <x:c r="F46" s="32" t="str">
        <x:f>IF(A46="","",IF(OR(B46="",C46="",NOT(ISNUMBER(D46))),"Review allocation",IF(COUNTIF(Payments!$A$7:$A$206,B46)&lt;&gt;1,"Review allocation",IF(COUNTIFS(Payments!$A$7:$A$206,B46,Payments!$H$7:$H$206,"settled")=1,D46,IF(OR(COUNTIFS(Payments!$A$7:$A$206,B46,Payments!$H$7:$H$206,"pending")=1,COUNTIFS(Payments!$A$7:$A$206,B46,Payments!$H$7:$H$206,"failed")=1),0,"Review allocation")))))</x:f>
      </x:c>
    </x:row>
    <x:row r="47" ht="25" customHeight="1">
      <x:c r="A47" s="16"/>
      <x:c r="B47" s="16"/>
      <x:c r="C47" s="16"/>
      <x:c r="D47" s="19"/>
      <x:c r="E47" s="16"/>
      <x:c r="F47" s="32" t="str">
        <x:f>IF(A47="","",IF(OR(B47="",C47="",NOT(ISNUMBER(D47))),"Review allocation",IF(COUNTIF(Payments!$A$7:$A$206,B47)&lt;&gt;1,"Review allocation",IF(COUNTIFS(Payments!$A$7:$A$206,B47,Payments!$H$7:$H$206,"settled")=1,D47,IF(OR(COUNTIFS(Payments!$A$7:$A$206,B47,Payments!$H$7:$H$206,"pending")=1,COUNTIFS(Payments!$A$7:$A$206,B47,Payments!$H$7:$H$206,"failed")=1),0,"Review allocation")))))</x:f>
      </x:c>
    </x:row>
    <x:row r="48" ht="25" customHeight="1">
      <x:c r="A48" s="16"/>
      <x:c r="B48" s="16"/>
      <x:c r="C48" s="16"/>
      <x:c r="D48" s="19"/>
      <x:c r="E48" s="16"/>
      <x:c r="F48" s="32" t="str">
        <x:f>IF(A48="","",IF(OR(B48="",C48="",NOT(ISNUMBER(D48))),"Review allocation",IF(COUNTIF(Payments!$A$7:$A$206,B48)&lt;&gt;1,"Review allocation",IF(COUNTIFS(Payments!$A$7:$A$206,B48,Payments!$H$7:$H$206,"settled")=1,D48,IF(OR(COUNTIFS(Payments!$A$7:$A$206,B48,Payments!$H$7:$H$206,"pending")=1,COUNTIFS(Payments!$A$7:$A$206,B48,Payments!$H$7:$H$206,"failed")=1),0,"Review allocation")))))</x:f>
      </x:c>
    </x:row>
    <x:row r="49" ht="25" customHeight="1">
      <x:c r="A49" s="16"/>
      <x:c r="B49" s="16"/>
      <x:c r="C49" s="16"/>
      <x:c r="D49" s="19"/>
      <x:c r="E49" s="16"/>
      <x:c r="F49" s="32" t="str">
        <x:f>IF(A49="","",IF(OR(B49="",C49="",NOT(ISNUMBER(D49))),"Review allocation",IF(COUNTIF(Payments!$A$7:$A$206,B49)&lt;&gt;1,"Review allocation",IF(COUNTIFS(Payments!$A$7:$A$206,B49,Payments!$H$7:$H$206,"settled")=1,D49,IF(OR(COUNTIFS(Payments!$A$7:$A$206,B49,Payments!$H$7:$H$206,"pending")=1,COUNTIFS(Payments!$A$7:$A$206,B49,Payments!$H$7:$H$206,"failed")=1),0,"Review allocation")))))</x:f>
      </x:c>
    </x:row>
    <x:row r="50" ht="25" customHeight="1">
      <x:c r="A50" s="16"/>
      <x:c r="B50" s="16"/>
      <x:c r="C50" s="16"/>
      <x:c r="D50" s="19"/>
      <x:c r="E50" s="16"/>
      <x:c r="F50" s="32" t="str">
        <x:f>IF(A50="","",IF(OR(B50="",C50="",NOT(ISNUMBER(D50))),"Review allocation",IF(COUNTIF(Payments!$A$7:$A$206,B50)&lt;&gt;1,"Review allocation",IF(COUNTIFS(Payments!$A$7:$A$206,B50,Payments!$H$7:$H$206,"settled")=1,D50,IF(OR(COUNTIFS(Payments!$A$7:$A$206,B50,Payments!$H$7:$H$206,"pending")=1,COUNTIFS(Payments!$A$7:$A$206,B50,Payments!$H$7:$H$206,"failed")=1),0,"Review allocation")))))</x:f>
      </x:c>
    </x:row>
    <x:row r="51" ht="25" customHeight="1">
      <x:c r="A51" s="16"/>
      <x:c r="B51" s="16"/>
      <x:c r="C51" s="16"/>
      <x:c r="D51" s="19"/>
      <x:c r="E51" s="16"/>
      <x:c r="F51" s="32" t="str">
        <x:f>IF(A51="","",IF(OR(B51="",C51="",NOT(ISNUMBER(D51))),"Review allocation",IF(COUNTIF(Payments!$A$7:$A$206,B51)&lt;&gt;1,"Review allocation",IF(COUNTIFS(Payments!$A$7:$A$206,B51,Payments!$H$7:$H$206,"settled")=1,D51,IF(OR(COUNTIFS(Payments!$A$7:$A$206,B51,Payments!$H$7:$H$206,"pending")=1,COUNTIFS(Payments!$A$7:$A$206,B51,Payments!$H$7:$H$206,"failed")=1),0,"Review allocation")))))</x:f>
      </x:c>
    </x:row>
    <x:row r="52" ht="25" customHeight="1">
      <x:c r="A52" s="16"/>
      <x:c r="B52" s="16"/>
      <x:c r="C52" s="16"/>
      <x:c r="D52" s="19"/>
      <x:c r="E52" s="16"/>
      <x:c r="F52" s="32" t="str">
        <x:f>IF(A52="","",IF(OR(B52="",C52="",NOT(ISNUMBER(D52))),"Review allocation",IF(COUNTIF(Payments!$A$7:$A$206,B52)&lt;&gt;1,"Review allocation",IF(COUNTIFS(Payments!$A$7:$A$206,B52,Payments!$H$7:$H$206,"settled")=1,D52,IF(OR(COUNTIFS(Payments!$A$7:$A$206,B52,Payments!$H$7:$H$206,"pending")=1,COUNTIFS(Payments!$A$7:$A$206,B52,Payments!$H$7:$H$206,"failed")=1),0,"Review allocation")))))</x:f>
      </x:c>
    </x:row>
    <x:row r="53" ht="25" customHeight="1">
      <x:c r="A53" s="16"/>
      <x:c r="B53" s="16"/>
      <x:c r="C53" s="16"/>
      <x:c r="D53" s="19"/>
      <x:c r="E53" s="16"/>
      <x:c r="F53" s="32" t="str">
        <x:f>IF(A53="","",IF(OR(B53="",C53="",NOT(ISNUMBER(D53))),"Review allocation",IF(COUNTIF(Payments!$A$7:$A$206,B53)&lt;&gt;1,"Review allocation",IF(COUNTIFS(Payments!$A$7:$A$206,B53,Payments!$H$7:$H$206,"settled")=1,D53,IF(OR(COUNTIFS(Payments!$A$7:$A$206,B53,Payments!$H$7:$H$206,"pending")=1,COUNTIFS(Payments!$A$7:$A$206,B53,Payments!$H$7:$H$206,"failed")=1),0,"Review allocation")))))</x:f>
      </x:c>
    </x:row>
    <x:row r="54" ht="25" customHeight="1">
      <x:c r="A54" s="16"/>
      <x:c r="B54" s="16"/>
      <x:c r="C54" s="16"/>
      <x:c r="D54" s="19"/>
      <x:c r="E54" s="16"/>
      <x:c r="F54" s="32" t="str">
        <x:f>IF(A54="","",IF(OR(B54="",C54="",NOT(ISNUMBER(D54))),"Review allocation",IF(COUNTIF(Payments!$A$7:$A$206,B54)&lt;&gt;1,"Review allocation",IF(COUNTIFS(Payments!$A$7:$A$206,B54,Payments!$H$7:$H$206,"settled")=1,D54,IF(OR(COUNTIFS(Payments!$A$7:$A$206,B54,Payments!$H$7:$H$206,"pending")=1,COUNTIFS(Payments!$A$7:$A$206,B54,Payments!$H$7:$H$206,"failed")=1),0,"Review allocation")))))</x:f>
      </x:c>
    </x:row>
    <x:row r="55" ht="25" customHeight="1">
      <x:c r="A55" s="16"/>
      <x:c r="B55" s="16"/>
      <x:c r="C55" s="16"/>
      <x:c r="D55" s="19"/>
      <x:c r="E55" s="16"/>
      <x:c r="F55" s="32" t="str">
        <x:f>IF(A55="","",IF(OR(B55="",C55="",NOT(ISNUMBER(D55))),"Review allocation",IF(COUNTIF(Payments!$A$7:$A$206,B55)&lt;&gt;1,"Review allocation",IF(COUNTIFS(Payments!$A$7:$A$206,B55,Payments!$H$7:$H$206,"settled")=1,D55,IF(OR(COUNTIFS(Payments!$A$7:$A$206,B55,Payments!$H$7:$H$206,"pending")=1,COUNTIFS(Payments!$A$7:$A$206,B55,Payments!$H$7:$H$206,"failed")=1),0,"Review allocation")))))</x:f>
      </x:c>
    </x:row>
    <x:row r="56" ht="25" customHeight="1">
      <x:c r="A56" s="16"/>
      <x:c r="B56" s="16"/>
      <x:c r="C56" s="16"/>
      <x:c r="D56" s="19"/>
      <x:c r="E56" s="16"/>
      <x:c r="F56" s="32" t="str">
        <x:f>IF(A56="","",IF(OR(B56="",C56="",NOT(ISNUMBER(D56))),"Review allocation",IF(COUNTIF(Payments!$A$7:$A$206,B56)&lt;&gt;1,"Review allocation",IF(COUNTIFS(Payments!$A$7:$A$206,B56,Payments!$H$7:$H$206,"settled")=1,D56,IF(OR(COUNTIFS(Payments!$A$7:$A$206,B56,Payments!$H$7:$H$206,"pending")=1,COUNTIFS(Payments!$A$7:$A$206,B56,Payments!$H$7:$H$206,"failed")=1),0,"Review allocation")))))</x:f>
      </x:c>
    </x:row>
    <x:row r="57" ht="25" customHeight="1">
      <x:c r="A57" s="16"/>
      <x:c r="B57" s="16"/>
      <x:c r="C57" s="16"/>
      <x:c r="D57" s="19"/>
      <x:c r="E57" s="16"/>
      <x:c r="F57" s="32" t="str">
        <x:f>IF(A57="","",IF(OR(B57="",C57="",NOT(ISNUMBER(D57))),"Review allocation",IF(COUNTIF(Payments!$A$7:$A$206,B57)&lt;&gt;1,"Review allocation",IF(COUNTIFS(Payments!$A$7:$A$206,B57,Payments!$H$7:$H$206,"settled")=1,D57,IF(OR(COUNTIFS(Payments!$A$7:$A$206,B57,Payments!$H$7:$H$206,"pending")=1,COUNTIFS(Payments!$A$7:$A$206,B57,Payments!$H$7:$H$206,"failed")=1),0,"Review allocation")))))</x:f>
      </x:c>
    </x:row>
    <x:row r="58" ht="25" customHeight="1">
      <x:c r="A58" s="16"/>
      <x:c r="B58" s="16"/>
      <x:c r="C58" s="16"/>
      <x:c r="D58" s="19"/>
      <x:c r="E58" s="16"/>
      <x:c r="F58" s="32" t="str">
        <x:f>IF(A58="","",IF(OR(B58="",C58="",NOT(ISNUMBER(D58))),"Review allocation",IF(COUNTIF(Payments!$A$7:$A$206,B58)&lt;&gt;1,"Review allocation",IF(COUNTIFS(Payments!$A$7:$A$206,B58,Payments!$H$7:$H$206,"settled")=1,D58,IF(OR(COUNTIFS(Payments!$A$7:$A$206,B58,Payments!$H$7:$H$206,"pending")=1,COUNTIFS(Payments!$A$7:$A$206,B58,Payments!$H$7:$H$206,"failed")=1),0,"Review allocation")))))</x:f>
      </x:c>
    </x:row>
    <x:row r="59" ht="25" customHeight="1">
      <x:c r="A59" s="16"/>
      <x:c r="B59" s="16"/>
      <x:c r="C59" s="16"/>
      <x:c r="D59" s="19"/>
      <x:c r="E59" s="16"/>
      <x:c r="F59" s="32" t="str">
        <x:f>IF(A59="","",IF(OR(B59="",C59="",NOT(ISNUMBER(D59))),"Review allocation",IF(COUNTIF(Payments!$A$7:$A$206,B59)&lt;&gt;1,"Review allocation",IF(COUNTIFS(Payments!$A$7:$A$206,B59,Payments!$H$7:$H$206,"settled")=1,D59,IF(OR(COUNTIFS(Payments!$A$7:$A$206,B59,Payments!$H$7:$H$206,"pending")=1,COUNTIFS(Payments!$A$7:$A$206,B59,Payments!$H$7:$H$206,"failed")=1),0,"Review allocation")))))</x:f>
      </x:c>
    </x:row>
    <x:row r="60" ht="25" customHeight="1">
      <x:c r="A60" s="16"/>
      <x:c r="B60" s="16"/>
      <x:c r="C60" s="16"/>
      <x:c r="D60" s="19"/>
      <x:c r="E60" s="16"/>
      <x:c r="F60" s="32" t="str">
        <x:f>IF(A60="","",IF(OR(B60="",C60="",NOT(ISNUMBER(D60))),"Review allocation",IF(COUNTIF(Payments!$A$7:$A$206,B60)&lt;&gt;1,"Review allocation",IF(COUNTIFS(Payments!$A$7:$A$206,B60,Payments!$H$7:$H$206,"settled")=1,D60,IF(OR(COUNTIFS(Payments!$A$7:$A$206,B60,Payments!$H$7:$H$206,"pending")=1,COUNTIFS(Payments!$A$7:$A$206,B60,Payments!$H$7:$H$206,"failed")=1),0,"Review allocation")))))</x:f>
      </x:c>
    </x:row>
    <x:row r="61" ht="25" customHeight="1">
      <x:c r="A61" s="16"/>
      <x:c r="B61" s="16"/>
      <x:c r="C61" s="16"/>
      <x:c r="D61" s="19"/>
      <x:c r="E61" s="16"/>
      <x:c r="F61" s="32" t="str">
        <x:f>IF(A61="","",IF(OR(B61="",C61="",NOT(ISNUMBER(D61))),"Review allocation",IF(COUNTIF(Payments!$A$7:$A$206,B61)&lt;&gt;1,"Review allocation",IF(COUNTIFS(Payments!$A$7:$A$206,B61,Payments!$H$7:$H$206,"settled")=1,D61,IF(OR(COUNTIFS(Payments!$A$7:$A$206,B61,Payments!$H$7:$H$206,"pending")=1,COUNTIFS(Payments!$A$7:$A$206,B61,Payments!$H$7:$H$206,"failed")=1),0,"Review allocation")))))</x:f>
      </x:c>
    </x:row>
    <x:row r="62" ht="25" customHeight="1">
      <x:c r="A62" s="16"/>
      <x:c r="B62" s="16"/>
      <x:c r="C62" s="16"/>
      <x:c r="D62" s="19"/>
      <x:c r="E62" s="16"/>
      <x:c r="F62" s="32" t="str">
        <x:f>IF(A62="","",IF(OR(B62="",C62="",NOT(ISNUMBER(D62))),"Review allocation",IF(COUNTIF(Payments!$A$7:$A$206,B62)&lt;&gt;1,"Review allocation",IF(COUNTIFS(Payments!$A$7:$A$206,B62,Payments!$H$7:$H$206,"settled")=1,D62,IF(OR(COUNTIFS(Payments!$A$7:$A$206,B62,Payments!$H$7:$H$206,"pending")=1,COUNTIFS(Payments!$A$7:$A$206,B62,Payments!$H$7:$H$206,"failed")=1),0,"Review allocation")))))</x:f>
      </x:c>
    </x:row>
    <x:row r="63" ht="25" customHeight="1">
      <x:c r="A63" s="16"/>
      <x:c r="B63" s="16"/>
      <x:c r="C63" s="16"/>
      <x:c r="D63" s="19"/>
      <x:c r="E63" s="16"/>
      <x:c r="F63" s="32" t="str">
        <x:f>IF(A63="","",IF(OR(B63="",C63="",NOT(ISNUMBER(D63))),"Review allocation",IF(COUNTIF(Payments!$A$7:$A$206,B63)&lt;&gt;1,"Review allocation",IF(COUNTIFS(Payments!$A$7:$A$206,B63,Payments!$H$7:$H$206,"settled")=1,D63,IF(OR(COUNTIFS(Payments!$A$7:$A$206,B63,Payments!$H$7:$H$206,"pending")=1,COUNTIFS(Payments!$A$7:$A$206,B63,Payments!$H$7:$H$206,"failed")=1),0,"Review allocation")))))</x:f>
      </x:c>
    </x:row>
    <x:row r="64" ht="25" customHeight="1">
      <x:c r="A64" s="16"/>
      <x:c r="B64" s="16"/>
      <x:c r="C64" s="16"/>
      <x:c r="D64" s="19"/>
      <x:c r="E64" s="16"/>
      <x:c r="F64" s="32" t="str">
        <x:f>IF(A64="","",IF(OR(B64="",C64="",NOT(ISNUMBER(D64))),"Review allocation",IF(COUNTIF(Payments!$A$7:$A$206,B64)&lt;&gt;1,"Review allocation",IF(COUNTIFS(Payments!$A$7:$A$206,B64,Payments!$H$7:$H$206,"settled")=1,D64,IF(OR(COUNTIFS(Payments!$A$7:$A$206,B64,Payments!$H$7:$H$206,"pending")=1,COUNTIFS(Payments!$A$7:$A$206,B64,Payments!$H$7:$H$206,"failed")=1),0,"Review allocation")))))</x:f>
      </x:c>
    </x:row>
    <x:row r="65" ht="25" customHeight="1">
      <x:c r="A65" s="16"/>
      <x:c r="B65" s="16"/>
      <x:c r="C65" s="16"/>
      <x:c r="D65" s="19"/>
      <x:c r="E65" s="16"/>
      <x:c r="F65" s="32" t="str">
        <x:f>IF(A65="","",IF(OR(B65="",C65="",NOT(ISNUMBER(D65))),"Review allocation",IF(COUNTIF(Payments!$A$7:$A$206,B65)&lt;&gt;1,"Review allocation",IF(COUNTIFS(Payments!$A$7:$A$206,B65,Payments!$H$7:$H$206,"settled")=1,D65,IF(OR(COUNTIFS(Payments!$A$7:$A$206,B65,Payments!$H$7:$H$206,"pending")=1,COUNTIFS(Payments!$A$7:$A$206,B65,Payments!$H$7:$H$206,"failed")=1),0,"Review allocation")))))</x:f>
      </x:c>
    </x:row>
    <x:row r="66" ht="25" customHeight="1">
      <x:c r="A66" s="16"/>
      <x:c r="B66" s="16"/>
      <x:c r="C66" s="16"/>
      <x:c r="D66" s="19"/>
      <x:c r="E66" s="16"/>
      <x:c r="F66" s="32" t="str">
        <x:f>IF(A66="","",IF(OR(B66="",C66="",NOT(ISNUMBER(D66))),"Review allocation",IF(COUNTIF(Payments!$A$7:$A$206,B66)&lt;&gt;1,"Review allocation",IF(COUNTIFS(Payments!$A$7:$A$206,B66,Payments!$H$7:$H$206,"settled")=1,D66,IF(OR(COUNTIFS(Payments!$A$7:$A$206,B66,Payments!$H$7:$H$206,"pending")=1,COUNTIFS(Payments!$A$7:$A$206,B66,Payments!$H$7:$H$206,"failed")=1),0,"Review allocation")))))</x:f>
      </x:c>
    </x:row>
    <x:row r="67" ht="25" customHeight="1">
      <x:c r="A67" s="16"/>
      <x:c r="B67" s="16"/>
      <x:c r="C67" s="16"/>
      <x:c r="D67" s="19"/>
      <x:c r="E67" s="16"/>
      <x:c r="F67" s="32" t="str">
        <x:f>IF(A67="","",IF(OR(B67="",C67="",NOT(ISNUMBER(D67))),"Review allocation",IF(COUNTIF(Payments!$A$7:$A$206,B67)&lt;&gt;1,"Review allocation",IF(COUNTIFS(Payments!$A$7:$A$206,B67,Payments!$H$7:$H$206,"settled")=1,D67,IF(OR(COUNTIFS(Payments!$A$7:$A$206,B67,Payments!$H$7:$H$206,"pending")=1,COUNTIFS(Payments!$A$7:$A$206,B67,Payments!$H$7:$H$206,"failed")=1),0,"Review allocation")))))</x:f>
      </x:c>
    </x:row>
    <x:row r="68" ht="25" customHeight="1">
      <x:c r="A68" s="16"/>
      <x:c r="B68" s="16"/>
      <x:c r="C68" s="16"/>
      <x:c r="D68" s="19"/>
      <x:c r="E68" s="16"/>
      <x:c r="F68" s="32" t="str">
        <x:f>IF(A68="","",IF(OR(B68="",C68="",NOT(ISNUMBER(D68))),"Review allocation",IF(COUNTIF(Payments!$A$7:$A$206,B68)&lt;&gt;1,"Review allocation",IF(COUNTIFS(Payments!$A$7:$A$206,B68,Payments!$H$7:$H$206,"settled")=1,D68,IF(OR(COUNTIFS(Payments!$A$7:$A$206,B68,Payments!$H$7:$H$206,"pending")=1,COUNTIFS(Payments!$A$7:$A$206,B68,Payments!$H$7:$H$206,"failed")=1),0,"Review allocation")))))</x:f>
      </x:c>
    </x:row>
    <x:row r="69" ht="25" customHeight="1">
      <x:c r="A69" s="16"/>
      <x:c r="B69" s="16"/>
      <x:c r="C69" s="16"/>
      <x:c r="D69" s="19"/>
      <x:c r="E69" s="16"/>
      <x:c r="F69" s="32" t="str">
        <x:f>IF(A69="","",IF(OR(B69="",C69="",NOT(ISNUMBER(D69))),"Review allocation",IF(COUNTIF(Payments!$A$7:$A$206,B69)&lt;&gt;1,"Review allocation",IF(COUNTIFS(Payments!$A$7:$A$206,B69,Payments!$H$7:$H$206,"settled")=1,D69,IF(OR(COUNTIFS(Payments!$A$7:$A$206,B69,Payments!$H$7:$H$206,"pending")=1,COUNTIFS(Payments!$A$7:$A$206,B69,Payments!$H$7:$H$206,"failed")=1),0,"Review allocation")))))</x:f>
      </x:c>
    </x:row>
    <x:row r="70" ht="25" customHeight="1">
      <x:c r="A70" s="16"/>
      <x:c r="B70" s="16"/>
      <x:c r="C70" s="16"/>
      <x:c r="D70" s="19"/>
      <x:c r="E70" s="16"/>
      <x:c r="F70" s="32" t="str">
        <x:f>IF(A70="","",IF(OR(B70="",C70="",NOT(ISNUMBER(D70))),"Review allocation",IF(COUNTIF(Payments!$A$7:$A$206,B70)&lt;&gt;1,"Review allocation",IF(COUNTIFS(Payments!$A$7:$A$206,B70,Payments!$H$7:$H$206,"settled")=1,D70,IF(OR(COUNTIFS(Payments!$A$7:$A$206,B70,Payments!$H$7:$H$206,"pending")=1,COUNTIFS(Payments!$A$7:$A$206,B70,Payments!$H$7:$H$206,"failed")=1),0,"Review allocation")))))</x:f>
      </x:c>
    </x:row>
    <x:row r="71" ht="25" customHeight="1">
      <x:c r="A71" s="16"/>
      <x:c r="B71" s="16"/>
      <x:c r="C71" s="16"/>
      <x:c r="D71" s="19"/>
      <x:c r="E71" s="16"/>
      <x:c r="F71" s="32" t="str">
        <x:f>IF(A71="","",IF(OR(B71="",C71="",NOT(ISNUMBER(D71))),"Review allocation",IF(COUNTIF(Payments!$A$7:$A$206,B71)&lt;&gt;1,"Review allocation",IF(COUNTIFS(Payments!$A$7:$A$206,B71,Payments!$H$7:$H$206,"settled")=1,D71,IF(OR(COUNTIFS(Payments!$A$7:$A$206,B71,Payments!$H$7:$H$206,"pending")=1,COUNTIFS(Payments!$A$7:$A$206,B71,Payments!$H$7:$H$206,"failed")=1),0,"Review allocation")))))</x:f>
      </x:c>
    </x:row>
    <x:row r="72" ht="25" customHeight="1">
      <x:c r="A72" s="16"/>
      <x:c r="B72" s="16"/>
      <x:c r="C72" s="16"/>
      <x:c r="D72" s="19"/>
      <x:c r="E72" s="16"/>
      <x:c r="F72" s="32" t="str">
        <x:f>IF(A72="","",IF(OR(B72="",C72="",NOT(ISNUMBER(D72))),"Review allocation",IF(COUNTIF(Payments!$A$7:$A$206,B72)&lt;&gt;1,"Review allocation",IF(COUNTIFS(Payments!$A$7:$A$206,B72,Payments!$H$7:$H$206,"settled")=1,D72,IF(OR(COUNTIFS(Payments!$A$7:$A$206,B72,Payments!$H$7:$H$206,"pending")=1,COUNTIFS(Payments!$A$7:$A$206,B72,Payments!$H$7:$H$206,"failed")=1),0,"Review allocation")))))</x:f>
      </x:c>
    </x:row>
    <x:row r="73" ht="25" customHeight="1">
      <x:c r="A73" s="16"/>
      <x:c r="B73" s="16"/>
      <x:c r="C73" s="16"/>
      <x:c r="D73" s="19"/>
      <x:c r="E73" s="16"/>
      <x:c r="F73" s="32" t="str">
        <x:f>IF(A73="","",IF(OR(B73="",C73="",NOT(ISNUMBER(D73))),"Review allocation",IF(COUNTIF(Payments!$A$7:$A$206,B73)&lt;&gt;1,"Review allocation",IF(COUNTIFS(Payments!$A$7:$A$206,B73,Payments!$H$7:$H$206,"settled")=1,D73,IF(OR(COUNTIFS(Payments!$A$7:$A$206,B73,Payments!$H$7:$H$206,"pending")=1,COUNTIFS(Payments!$A$7:$A$206,B73,Payments!$H$7:$H$206,"failed")=1),0,"Review allocation")))))</x:f>
      </x:c>
    </x:row>
    <x:row r="74" ht="25" customHeight="1">
      <x:c r="A74" s="16"/>
      <x:c r="B74" s="16"/>
      <x:c r="C74" s="16"/>
      <x:c r="D74" s="19"/>
      <x:c r="E74" s="16"/>
      <x:c r="F74" s="32" t="str">
        <x:f>IF(A74="","",IF(OR(B74="",C74="",NOT(ISNUMBER(D74))),"Review allocation",IF(COUNTIF(Payments!$A$7:$A$206,B74)&lt;&gt;1,"Review allocation",IF(COUNTIFS(Payments!$A$7:$A$206,B74,Payments!$H$7:$H$206,"settled")=1,D74,IF(OR(COUNTIFS(Payments!$A$7:$A$206,B74,Payments!$H$7:$H$206,"pending")=1,COUNTIFS(Payments!$A$7:$A$206,B74,Payments!$H$7:$H$206,"failed")=1),0,"Review allocation")))))</x:f>
      </x:c>
    </x:row>
    <x:row r="75" ht="25" customHeight="1">
      <x:c r="A75" s="16"/>
      <x:c r="B75" s="16"/>
      <x:c r="C75" s="16"/>
      <x:c r="D75" s="19"/>
      <x:c r="E75" s="16"/>
      <x:c r="F75" s="32" t="str">
        <x:f>IF(A75="","",IF(OR(B75="",C75="",NOT(ISNUMBER(D75))),"Review allocation",IF(COUNTIF(Payments!$A$7:$A$206,B75)&lt;&gt;1,"Review allocation",IF(COUNTIFS(Payments!$A$7:$A$206,B75,Payments!$H$7:$H$206,"settled")=1,D75,IF(OR(COUNTIFS(Payments!$A$7:$A$206,B75,Payments!$H$7:$H$206,"pending")=1,COUNTIFS(Payments!$A$7:$A$206,B75,Payments!$H$7:$H$206,"failed")=1),0,"Review allocation")))))</x:f>
      </x:c>
    </x:row>
    <x:row r="76" ht="25" customHeight="1">
      <x:c r="A76" s="16"/>
      <x:c r="B76" s="16"/>
      <x:c r="C76" s="16"/>
      <x:c r="D76" s="19"/>
      <x:c r="E76" s="16"/>
      <x:c r="F76" s="32" t="str">
        <x:f>IF(A76="","",IF(OR(B76="",C76="",NOT(ISNUMBER(D76))),"Review allocation",IF(COUNTIF(Payments!$A$7:$A$206,B76)&lt;&gt;1,"Review allocation",IF(COUNTIFS(Payments!$A$7:$A$206,B76,Payments!$H$7:$H$206,"settled")=1,D76,IF(OR(COUNTIFS(Payments!$A$7:$A$206,B76,Payments!$H$7:$H$206,"pending")=1,COUNTIFS(Payments!$A$7:$A$206,B76,Payments!$H$7:$H$206,"failed")=1),0,"Review allocation")))))</x:f>
      </x:c>
    </x:row>
    <x:row r="77" ht="25" customHeight="1">
      <x:c r="A77" s="16"/>
      <x:c r="B77" s="16"/>
      <x:c r="C77" s="16"/>
      <x:c r="D77" s="19"/>
      <x:c r="E77" s="16"/>
      <x:c r="F77" s="32" t="str">
        <x:f>IF(A77="","",IF(OR(B77="",C77="",NOT(ISNUMBER(D77))),"Review allocation",IF(COUNTIF(Payments!$A$7:$A$206,B77)&lt;&gt;1,"Review allocation",IF(COUNTIFS(Payments!$A$7:$A$206,B77,Payments!$H$7:$H$206,"settled")=1,D77,IF(OR(COUNTIFS(Payments!$A$7:$A$206,B77,Payments!$H$7:$H$206,"pending")=1,COUNTIFS(Payments!$A$7:$A$206,B77,Payments!$H$7:$H$206,"failed")=1),0,"Review allocation")))))</x:f>
      </x:c>
    </x:row>
    <x:row r="78" ht="25" customHeight="1">
      <x:c r="A78" s="16"/>
      <x:c r="B78" s="16"/>
      <x:c r="C78" s="16"/>
      <x:c r="D78" s="19"/>
      <x:c r="E78" s="16"/>
      <x:c r="F78" s="32" t="str">
        <x:f>IF(A78="","",IF(OR(B78="",C78="",NOT(ISNUMBER(D78))),"Review allocation",IF(COUNTIF(Payments!$A$7:$A$206,B78)&lt;&gt;1,"Review allocation",IF(COUNTIFS(Payments!$A$7:$A$206,B78,Payments!$H$7:$H$206,"settled")=1,D78,IF(OR(COUNTIFS(Payments!$A$7:$A$206,B78,Payments!$H$7:$H$206,"pending")=1,COUNTIFS(Payments!$A$7:$A$206,B78,Payments!$H$7:$H$206,"failed")=1),0,"Review allocation")))))</x:f>
      </x:c>
    </x:row>
    <x:row r="79" ht="25" customHeight="1">
      <x:c r="A79" s="16"/>
      <x:c r="B79" s="16"/>
      <x:c r="C79" s="16"/>
      <x:c r="D79" s="19"/>
      <x:c r="E79" s="16"/>
      <x:c r="F79" s="32" t="str">
        <x:f>IF(A79="","",IF(OR(B79="",C79="",NOT(ISNUMBER(D79))),"Review allocation",IF(COUNTIF(Payments!$A$7:$A$206,B79)&lt;&gt;1,"Review allocation",IF(COUNTIFS(Payments!$A$7:$A$206,B79,Payments!$H$7:$H$206,"settled")=1,D79,IF(OR(COUNTIFS(Payments!$A$7:$A$206,B79,Payments!$H$7:$H$206,"pending")=1,COUNTIFS(Payments!$A$7:$A$206,B79,Payments!$H$7:$H$206,"failed")=1),0,"Review allocation")))))</x:f>
      </x:c>
    </x:row>
    <x:row r="80" ht="25" customHeight="1">
      <x:c r="A80" s="16"/>
      <x:c r="B80" s="16"/>
      <x:c r="C80" s="16"/>
      <x:c r="D80" s="19"/>
      <x:c r="E80" s="16"/>
      <x:c r="F80" s="32" t="str">
        <x:f>IF(A80="","",IF(OR(B80="",C80="",NOT(ISNUMBER(D80))),"Review allocation",IF(COUNTIF(Payments!$A$7:$A$206,B80)&lt;&gt;1,"Review allocation",IF(COUNTIFS(Payments!$A$7:$A$206,B80,Payments!$H$7:$H$206,"settled")=1,D80,IF(OR(COUNTIFS(Payments!$A$7:$A$206,B80,Payments!$H$7:$H$206,"pending")=1,COUNTIFS(Payments!$A$7:$A$206,B80,Payments!$H$7:$H$206,"failed")=1),0,"Review allocation")))))</x:f>
      </x:c>
    </x:row>
    <x:row r="81" ht="25" customHeight="1">
      <x:c r="A81" s="16"/>
      <x:c r="B81" s="16"/>
      <x:c r="C81" s="16"/>
      <x:c r="D81" s="19"/>
      <x:c r="E81" s="16"/>
      <x:c r="F81" s="32" t="str">
        <x:f>IF(A81="","",IF(OR(B81="",C81="",NOT(ISNUMBER(D81))),"Review allocation",IF(COUNTIF(Payments!$A$7:$A$206,B81)&lt;&gt;1,"Review allocation",IF(COUNTIFS(Payments!$A$7:$A$206,B81,Payments!$H$7:$H$206,"settled")=1,D81,IF(OR(COUNTIFS(Payments!$A$7:$A$206,B81,Payments!$H$7:$H$206,"pending")=1,COUNTIFS(Payments!$A$7:$A$206,B81,Payments!$H$7:$H$206,"failed")=1),0,"Review allocation")))))</x:f>
      </x:c>
    </x:row>
    <x:row r="82" ht="25" customHeight="1">
      <x:c r="A82" s="16"/>
      <x:c r="B82" s="16"/>
      <x:c r="C82" s="16"/>
      <x:c r="D82" s="19"/>
      <x:c r="E82" s="16"/>
      <x:c r="F82" s="32" t="str">
        <x:f>IF(A82="","",IF(OR(B82="",C82="",NOT(ISNUMBER(D82))),"Review allocation",IF(COUNTIF(Payments!$A$7:$A$206,B82)&lt;&gt;1,"Review allocation",IF(COUNTIFS(Payments!$A$7:$A$206,B82,Payments!$H$7:$H$206,"settled")=1,D82,IF(OR(COUNTIFS(Payments!$A$7:$A$206,B82,Payments!$H$7:$H$206,"pending")=1,COUNTIFS(Payments!$A$7:$A$206,B82,Payments!$H$7:$H$206,"failed")=1),0,"Review allocation")))))</x:f>
      </x:c>
    </x:row>
    <x:row r="83" ht="25" customHeight="1">
      <x:c r="A83" s="16"/>
      <x:c r="B83" s="16"/>
      <x:c r="C83" s="16"/>
      <x:c r="D83" s="19"/>
      <x:c r="E83" s="16"/>
      <x:c r="F83" s="32" t="str">
        <x:f>IF(A83="","",IF(OR(B83="",C83="",NOT(ISNUMBER(D83))),"Review allocation",IF(COUNTIF(Payments!$A$7:$A$206,B83)&lt;&gt;1,"Review allocation",IF(COUNTIFS(Payments!$A$7:$A$206,B83,Payments!$H$7:$H$206,"settled")=1,D83,IF(OR(COUNTIFS(Payments!$A$7:$A$206,B83,Payments!$H$7:$H$206,"pending")=1,COUNTIFS(Payments!$A$7:$A$206,B83,Payments!$H$7:$H$206,"failed")=1),0,"Review allocation")))))</x:f>
      </x:c>
    </x:row>
    <x:row r="84" ht="25" customHeight="1">
      <x:c r="A84" s="16"/>
      <x:c r="B84" s="16"/>
      <x:c r="C84" s="16"/>
      <x:c r="D84" s="19"/>
      <x:c r="E84" s="16"/>
      <x:c r="F84" s="32" t="str">
        <x:f>IF(A84="","",IF(OR(B84="",C84="",NOT(ISNUMBER(D84))),"Review allocation",IF(COUNTIF(Payments!$A$7:$A$206,B84)&lt;&gt;1,"Review allocation",IF(COUNTIFS(Payments!$A$7:$A$206,B84,Payments!$H$7:$H$206,"settled")=1,D84,IF(OR(COUNTIFS(Payments!$A$7:$A$206,B84,Payments!$H$7:$H$206,"pending")=1,COUNTIFS(Payments!$A$7:$A$206,B84,Payments!$H$7:$H$206,"failed")=1),0,"Review allocation")))))</x:f>
      </x:c>
    </x:row>
    <x:row r="85" ht="25" customHeight="1">
      <x:c r="A85" s="16"/>
      <x:c r="B85" s="16"/>
      <x:c r="C85" s="16"/>
      <x:c r="D85" s="19"/>
      <x:c r="E85" s="16"/>
      <x:c r="F85" s="32" t="str">
        <x:f>IF(A85="","",IF(OR(B85="",C85="",NOT(ISNUMBER(D85))),"Review allocation",IF(COUNTIF(Payments!$A$7:$A$206,B85)&lt;&gt;1,"Review allocation",IF(COUNTIFS(Payments!$A$7:$A$206,B85,Payments!$H$7:$H$206,"settled")=1,D85,IF(OR(COUNTIFS(Payments!$A$7:$A$206,B85,Payments!$H$7:$H$206,"pending")=1,COUNTIFS(Payments!$A$7:$A$206,B85,Payments!$H$7:$H$206,"failed")=1),0,"Review allocation")))))</x:f>
      </x:c>
    </x:row>
    <x:row r="86" ht="25" customHeight="1">
      <x:c r="A86" s="16"/>
      <x:c r="B86" s="16"/>
      <x:c r="C86" s="16"/>
      <x:c r="D86" s="19"/>
      <x:c r="E86" s="16"/>
      <x:c r="F86" s="32" t="str">
        <x:f>IF(A86="","",IF(OR(B86="",C86="",NOT(ISNUMBER(D86))),"Review allocation",IF(COUNTIF(Payments!$A$7:$A$206,B86)&lt;&gt;1,"Review allocation",IF(COUNTIFS(Payments!$A$7:$A$206,B86,Payments!$H$7:$H$206,"settled")=1,D86,IF(OR(COUNTIFS(Payments!$A$7:$A$206,B86,Payments!$H$7:$H$206,"pending")=1,COUNTIFS(Payments!$A$7:$A$206,B86,Payments!$H$7:$H$206,"failed")=1),0,"Review allocation")))))</x:f>
      </x:c>
    </x:row>
    <x:row r="87" ht="25" customHeight="1">
      <x:c r="A87" s="16"/>
      <x:c r="B87" s="16"/>
      <x:c r="C87" s="16"/>
      <x:c r="D87" s="19"/>
      <x:c r="E87" s="16"/>
      <x:c r="F87" s="32" t="str">
        <x:f>IF(A87="","",IF(OR(B87="",C87="",NOT(ISNUMBER(D87))),"Review allocation",IF(COUNTIF(Payments!$A$7:$A$206,B87)&lt;&gt;1,"Review allocation",IF(COUNTIFS(Payments!$A$7:$A$206,B87,Payments!$H$7:$H$206,"settled")=1,D87,IF(OR(COUNTIFS(Payments!$A$7:$A$206,B87,Payments!$H$7:$H$206,"pending")=1,COUNTIFS(Payments!$A$7:$A$206,B87,Payments!$H$7:$H$206,"failed")=1),0,"Review allocation")))))</x:f>
      </x:c>
    </x:row>
    <x:row r="88" ht="25" customHeight="1">
      <x:c r="A88" s="16"/>
      <x:c r="B88" s="16"/>
      <x:c r="C88" s="16"/>
      <x:c r="D88" s="19"/>
      <x:c r="E88" s="16"/>
      <x:c r="F88" s="32" t="str">
        <x:f>IF(A88="","",IF(OR(B88="",C88="",NOT(ISNUMBER(D88))),"Review allocation",IF(COUNTIF(Payments!$A$7:$A$206,B88)&lt;&gt;1,"Review allocation",IF(COUNTIFS(Payments!$A$7:$A$206,B88,Payments!$H$7:$H$206,"settled")=1,D88,IF(OR(COUNTIFS(Payments!$A$7:$A$206,B88,Payments!$H$7:$H$206,"pending")=1,COUNTIFS(Payments!$A$7:$A$206,B88,Payments!$H$7:$H$206,"failed")=1),0,"Review allocation")))))</x:f>
      </x:c>
    </x:row>
    <x:row r="89" ht="25" customHeight="1">
      <x:c r="A89" s="16"/>
      <x:c r="B89" s="16"/>
      <x:c r="C89" s="16"/>
      <x:c r="D89" s="19"/>
      <x:c r="E89" s="16"/>
      <x:c r="F89" s="32" t="str">
        <x:f>IF(A89="","",IF(OR(B89="",C89="",NOT(ISNUMBER(D89))),"Review allocation",IF(COUNTIF(Payments!$A$7:$A$206,B89)&lt;&gt;1,"Review allocation",IF(COUNTIFS(Payments!$A$7:$A$206,B89,Payments!$H$7:$H$206,"settled")=1,D89,IF(OR(COUNTIFS(Payments!$A$7:$A$206,B89,Payments!$H$7:$H$206,"pending")=1,COUNTIFS(Payments!$A$7:$A$206,B89,Payments!$H$7:$H$206,"failed")=1),0,"Review allocation")))))</x:f>
      </x:c>
    </x:row>
    <x:row r="90" ht="25" customHeight="1">
      <x:c r="A90" s="16"/>
      <x:c r="B90" s="16"/>
      <x:c r="C90" s="16"/>
      <x:c r="D90" s="19"/>
      <x:c r="E90" s="16"/>
      <x:c r="F90" s="32" t="str">
        <x:f>IF(A90="","",IF(OR(B90="",C90="",NOT(ISNUMBER(D90))),"Review allocation",IF(COUNTIF(Payments!$A$7:$A$206,B90)&lt;&gt;1,"Review allocation",IF(COUNTIFS(Payments!$A$7:$A$206,B90,Payments!$H$7:$H$206,"settled")=1,D90,IF(OR(COUNTIFS(Payments!$A$7:$A$206,B90,Payments!$H$7:$H$206,"pending")=1,COUNTIFS(Payments!$A$7:$A$206,B90,Payments!$H$7:$H$206,"failed")=1),0,"Review allocation")))))</x:f>
      </x:c>
    </x:row>
    <x:row r="91" ht="25" customHeight="1">
      <x:c r="A91" s="16"/>
      <x:c r="B91" s="16"/>
      <x:c r="C91" s="16"/>
      <x:c r="D91" s="19"/>
      <x:c r="E91" s="16"/>
      <x:c r="F91" s="32" t="str">
        <x:f>IF(A91="","",IF(OR(B91="",C91="",NOT(ISNUMBER(D91))),"Review allocation",IF(COUNTIF(Payments!$A$7:$A$206,B91)&lt;&gt;1,"Review allocation",IF(COUNTIFS(Payments!$A$7:$A$206,B91,Payments!$H$7:$H$206,"settled")=1,D91,IF(OR(COUNTIFS(Payments!$A$7:$A$206,B91,Payments!$H$7:$H$206,"pending")=1,COUNTIFS(Payments!$A$7:$A$206,B91,Payments!$H$7:$H$206,"failed")=1),0,"Review allocation")))))</x:f>
      </x:c>
    </x:row>
    <x:row r="92" ht="25" customHeight="1">
      <x:c r="A92" s="16"/>
      <x:c r="B92" s="16"/>
      <x:c r="C92" s="16"/>
      <x:c r="D92" s="19"/>
      <x:c r="E92" s="16"/>
      <x:c r="F92" s="32" t="str">
        <x:f>IF(A92="","",IF(OR(B92="",C92="",NOT(ISNUMBER(D92))),"Review allocation",IF(COUNTIF(Payments!$A$7:$A$206,B92)&lt;&gt;1,"Review allocation",IF(COUNTIFS(Payments!$A$7:$A$206,B92,Payments!$H$7:$H$206,"settled")=1,D92,IF(OR(COUNTIFS(Payments!$A$7:$A$206,B92,Payments!$H$7:$H$206,"pending")=1,COUNTIFS(Payments!$A$7:$A$206,B92,Payments!$H$7:$H$206,"failed")=1),0,"Review allocation")))))</x:f>
      </x:c>
    </x:row>
    <x:row r="93" ht="25" customHeight="1">
      <x:c r="A93" s="16"/>
      <x:c r="B93" s="16"/>
      <x:c r="C93" s="16"/>
      <x:c r="D93" s="19"/>
      <x:c r="E93" s="16"/>
      <x:c r="F93" s="32" t="str">
        <x:f>IF(A93="","",IF(OR(B93="",C93="",NOT(ISNUMBER(D93))),"Review allocation",IF(COUNTIF(Payments!$A$7:$A$206,B93)&lt;&gt;1,"Review allocation",IF(COUNTIFS(Payments!$A$7:$A$206,B93,Payments!$H$7:$H$206,"settled")=1,D93,IF(OR(COUNTIFS(Payments!$A$7:$A$206,B93,Payments!$H$7:$H$206,"pending")=1,COUNTIFS(Payments!$A$7:$A$206,B93,Payments!$H$7:$H$206,"failed")=1),0,"Review allocation")))))</x:f>
      </x:c>
    </x:row>
    <x:row r="94" ht="25" customHeight="1">
      <x:c r="A94" s="16"/>
      <x:c r="B94" s="16"/>
      <x:c r="C94" s="16"/>
      <x:c r="D94" s="19"/>
      <x:c r="E94" s="16"/>
      <x:c r="F94" s="32" t="str">
        <x:f>IF(A94="","",IF(OR(B94="",C94="",NOT(ISNUMBER(D94))),"Review allocation",IF(COUNTIF(Payments!$A$7:$A$206,B94)&lt;&gt;1,"Review allocation",IF(COUNTIFS(Payments!$A$7:$A$206,B94,Payments!$H$7:$H$206,"settled")=1,D94,IF(OR(COUNTIFS(Payments!$A$7:$A$206,B94,Payments!$H$7:$H$206,"pending")=1,COUNTIFS(Payments!$A$7:$A$206,B94,Payments!$H$7:$H$206,"failed")=1),0,"Review allocation")))))</x:f>
      </x:c>
    </x:row>
    <x:row r="95" ht="25" customHeight="1">
      <x:c r="A95" s="16"/>
      <x:c r="B95" s="16"/>
      <x:c r="C95" s="16"/>
      <x:c r="D95" s="19"/>
      <x:c r="E95" s="16"/>
      <x:c r="F95" s="32" t="str">
        <x:f>IF(A95="","",IF(OR(B95="",C95="",NOT(ISNUMBER(D95))),"Review allocation",IF(COUNTIF(Payments!$A$7:$A$206,B95)&lt;&gt;1,"Review allocation",IF(COUNTIFS(Payments!$A$7:$A$206,B95,Payments!$H$7:$H$206,"settled")=1,D95,IF(OR(COUNTIFS(Payments!$A$7:$A$206,B95,Payments!$H$7:$H$206,"pending")=1,COUNTIFS(Payments!$A$7:$A$206,B95,Payments!$H$7:$H$206,"failed")=1),0,"Review allocation")))))</x:f>
      </x:c>
    </x:row>
    <x:row r="96" ht="25" customHeight="1">
      <x:c r="A96" s="16"/>
      <x:c r="B96" s="16"/>
      <x:c r="C96" s="16"/>
      <x:c r="D96" s="19"/>
      <x:c r="E96" s="16"/>
      <x:c r="F96" s="32" t="str">
        <x:f>IF(A96="","",IF(OR(B96="",C96="",NOT(ISNUMBER(D96))),"Review allocation",IF(COUNTIF(Payments!$A$7:$A$206,B96)&lt;&gt;1,"Review allocation",IF(COUNTIFS(Payments!$A$7:$A$206,B96,Payments!$H$7:$H$206,"settled")=1,D96,IF(OR(COUNTIFS(Payments!$A$7:$A$206,B96,Payments!$H$7:$H$206,"pending")=1,COUNTIFS(Payments!$A$7:$A$206,B96,Payments!$H$7:$H$206,"failed")=1),0,"Review allocation")))))</x:f>
      </x:c>
    </x:row>
    <x:row r="97" ht="25" customHeight="1">
      <x:c r="A97" s="16"/>
      <x:c r="B97" s="16"/>
      <x:c r="C97" s="16"/>
      <x:c r="D97" s="19"/>
      <x:c r="E97" s="16"/>
      <x:c r="F97" s="32" t="str">
        <x:f>IF(A97="","",IF(OR(B97="",C97="",NOT(ISNUMBER(D97))),"Review allocation",IF(COUNTIF(Payments!$A$7:$A$206,B97)&lt;&gt;1,"Review allocation",IF(COUNTIFS(Payments!$A$7:$A$206,B97,Payments!$H$7:$H$206,"settled")=1,D97,IF(OR(COUNTIFS(Payments!$A$7:$A$206,B97,Payments!$H$7:$H$206,"pending")=1,COUNTIFS(Payments!$A$7:$A$206,B97,Payments!$H$7:$H$206,"failed")=1),0,"Review allocation")))))</x:f>
      </x:c>
    </x:row>
    <x:row r="98" ht="25" customHeight="1">
      <x:c r="A98" s="16"/>
      <x:c r="B98" s="16"/>
      <x:c r="C98" s="16"/>
      <x:c r="D98" s="19"/>
      <x:c r="E98" s="16"/>
      <x:c r="F98" s="32" t="str">
        <x:f>IF(A98="","",IF(OR(B98="",C98="",NOT(ISNUMBER(D98))),"Review allocation",IF(COUNTIF(Payments!$A$7:$A$206,B98)&lt;&gt;1,"Review allocation",IF(COUNTIFS(Payments!$A$7:$A$206,B98,Payments!$H$7:$H$206,"settled")=1,D98,IF(OR(COUNTIFS(Payments!$A$7:$A$206,B98,Payments!$H$7:$H$206,"pending")=1,COUNTIFS(Payments!$A$7:$A$206,B98,Payments!$H$7:$H$206,"failed")=1),0,"Review allocation")))))</x:f>
      </x:c>
    </x:row>
    <x:row r="99" ht="25" customHeight="1">
      <x:c r="A99" s="16"/>
      <x:c r="B99" s="16"/>
      <x:c r="C99" s="16"/>
      <x:c r="D99" s="19"/>
      <x:c r="E99" s="16"/>
      <x:c r="F99" s="32" t="str">
        <x:f>IF(A99="","",IF(OR(B99="",C99="",NOT(ISNUMBER(D99))),"Review allocation",IF(COUNTIF(Payments!$A$7:$A$206,B99)&lt;&gt;1,"Review allocation",IF(COUNTIFS(Payments!$A$7:$A$206,B99,Payments!$H$7:$H$206,"settled")=1,D99,IF(OR(COUNTIFS(Payments!$A$7:$A$206,B99,Payments!$H$7:$H$206,"pending")=1,COUNTIFS(Payments!$A$7:$A$206,B99,Payments!$H$7:$H$206,"failed")=1),0,"Review allocation")))))</x:f>
      </x:c>
    </x:row>
    <x:row r="100" ht="25" customHeight="1">
      <x:c r="A100" s="16"/>
      <x:c r="B100" s="16"/>
      <x:c r="C100" s="16"/>
      <x:c r="D100" s="19"/>
      <x:c r="E100" s="16"/>
      <x:c r="F100" s="32" t="str">
        <x:f>IF(A100="","",IF(OR(B100="",C100="",NOT(ISNUMBER(D100))),"Review allocation",IF(COUNTIF(Payments!$A$7:$A$206,B100)&lt;&gt;1,"Review allocation",IF(COUNTIFS(Payments!$A$7:$A$206,B100,Payments!$H$7:$H$206,"settled")=1,D100,IF(OR(COUNTIFS(Payments!$A$7:$A$206,B100,Payments!$H$7:$H$206,"pending")=1,COUNTIFS(Payments!$A$7:$A$206,B100,Payments!$H$7:$H$206,"failed")=1),0,"Review allocation")))))</x:f>
      </x:c>
    </x:row>
    <x:row r="101" ht="25" customHeight="1">
      <x:c r="A101" s="16"/>
      <x:c r="B101" s="16"/>
      <x:c r="C101" s="16"/>
      <x:c r="D101" s="19"/>
      <x:c r="E101" s="16"/>
      <x:c r="F101" s="32" t="str">
        <x:f>IF(A101="","",IF(OR(B101="",C101="",NOT(ISNUMBER(D101))),"Review allocation",IF(COUNTIF(Payments!$A$7:$A$206,B101)&lt;&gt;1,"Review allocation",IF(COUNTIFS(Payments!$A$7:$A$206,B101,Payments!$H$7:$H$206,"settled")=1,D101,IF(OR(COUNTIFS(Payments!$A$7:$A$206,B101,Payments!$H$7:$H$206,"pending")=1,COUNTIFS(Payments!$A$7:$A$206,B101,Payments!$H$7:$H$206,"failed")=1),0,"Review allocation")))))</x:f>
      </x:c>
    </x:row>
    <x:row r="102" ht="25" customHeight="1">
      <x:c r="A102" s="16"/>
      <x:c r="B102" s="16"/>
      <x:c r="C102" s="16"/>
      <x:c r="D102" s="19"/>
      <x:c r="E102" s="16"/>
      <x:c r="F102" s="32" t="str">
        <x:f>IF(A102="","",IF(OR(B102="",C102="",NOT(ISNUMBER(D102))),"Review allocation",IF(COUNTIF(Payments!$A$7:$A$206,B102)&lt;&gt;1,"Review allocation",IF(COUNTIFS(Payments!$A$7:$A$206,B102,Payments!$H$7:$H$206,"settled")=1,D102,IF(OR(COUNTIFS(Payments!$A$7:$A$206,B102,Payments!$H$7:$H$206,"pending")=1,COUNTIFS(Payments!$A$7:$A$206,B102,Payments!$H$7:$H$206,"failed")=1),0,"Review allocation")))))</x:f>
      </x:c>
    </x:row>
    <x:row r="103" ht="25" customHeight="1">
      <x:c r="A103" s="16"/>
      <x:c r="B103" s="16"/>
      <x:c r="C103" s="16"/>
      <x:c r="D103" s="19"/>
      <x:c r="E103" s="16"/>
      <x:c r="F103" s="32" t="str">
        <x:f>IF(A103="","",IF(OR(B103="",C103="",NOT(ISNUMBER(D103))),"Review allocation",IF(COUNTIF(Payments!$A$7:$A$206,B103)&lt;&gt;1,"Review allocation",IF(COUNTIFS(Payments!$A$7:$A$206,B103,Payments!$H$7:$H$206,"settled")=1,D103,IF(OR(COUNTIFS(Payments!$A$7:$A$206,B103,Payments!$H$7:$H$206,"pending")=1,COUNTIFS(Payments!$A$7:$A$206,B103,Payments!$H$7:$H$206,"failed")=1),0,"Review allocation")))))</x:f>
      </x:c>
    </x:row>
    <x:row r="104" ht="25" customHeight="1">
      <x:c r="A104" s="16"/>
      <x:c r="B104" s="16"/>
      <x:c r="C104" s="16"/>
      <x:c r="D104" s="19"/>
      <x:c r="E104" s="16"/>
      <x:c r="F104" s="32" t="str">
        <x:f>IF(A104="","",IF(OR(B104="",C104="",NOT(ISNUMBER(D104))),"Review allocation",IF(COUNTIF(Payments!$A$7:$A$206,B104)&lt;&gt;1,"Review allocation",IF(COUNTIFS(Payments!$A$7:$A$206,B104,Payments!$H$7:$H$206,"settled")=1,D104,IF(OR(COUNTIFS(Payments!$A$7:$A$206,B104,Payments!$H$7:$H$206,"pending")=1,COUNTIFS(Payments!$A$7:$A$206,B104,Payments!$H$7:$H$206,"failed")=1),0,"Review allocation")))))</x:f>
      </x:c>
    </x:row>
    <x:row r="105" ht="25" customHeight="1">
      <x:c r="A105" s="16"/>
      <x:c r="B105" s="16"/>
      <x:c r="C105" s="16"/>
      <x:c r="D105" s="19"/>
      <x:c r="E105" s="16"/>
      <x:c r="F105" s="32" t="str">
        <x:f>IF(A105="","",IF(OR(B105="",C105="",NOT(ISNUMBER(D105))),"Review allocation",IF(COUNTIF(Payments!$A$7:$A$206,B105)&lt;&gt;1,"Review allocation",IF(COUNTIFS(Payments!$A$7:$A$206,B105,Payments!$H$7:$H$206,"settled")=1,D105,IF(OR(COUNTIFS(Payments!$A$7:$A$206,B105,Payments!$H$7:$H$206,"pending")=1,COUNTIFS(Payments!$A$7:$A$206,B105,Payments!$H$7:$H$206,"failed")=1),0,"Review allocation")))))</x:f>
      </x:c>
    </x:row>
    <x:row r="106" ht="25" customHeight="1">
      <x:c r="A106" s="16"/>
      <x:c r="B106" s="16"/>
      <x:c r="C106" s="16"/>
      <x:c r="D106" s="19"/>
      <x:c r="E106" s="16"/>
      <x:c r="F106" s="32" t="str">
        <x:f>IF(A106="","",IF(OR(B106="",C106="",NOT(ISNUMBER(D106))),"Review allocation",IF(COUNTIF(Payments!$A$7:$A$206,B106)&lt;&gt;1,"Review allocation",IF(COUNTIFS(Payments!$A$7:$A$206,B106,Payments!$H$7:$H$206,"settled")=1,D106,IF(OR(COUNTIFS(Payments!$A$7:$A$206,B106,Payments!$H$7:$H$206,"pending")=1,COUNTIFS(Payments!$A$7:$A$206,B106,Payments!$H$7:$H$206,"failed")=1),0,"Review allocation")))))</x:f>
      </x:c>
    </x:row>
    <x:row r="107" ht="25" customHeight="1">
      <x:c r="A107" s="16"/>
      <x:c r="B107" s="16"/>
      <x:c r="C107" s="16"/>
      <x:c r="D107" s="19"/>
      <x:c r="E107" s="16"/>
      <x:c r="F107" s="32" t="str">
        <x:f>IF(A107="","",IF(OR(B107="",C107="",NOT(ISNUMBER(D107))),"Review allocation",IF(COUNTIF(Payments!$A$7:$A$206,B107)&lt;&gt;1,"Review allocation",IF(COUNTIFS(Payments!$A$7:$A$206,B107,Payments!$H$7:$H$206,"settled")=1,D107,IF(OR(COUNTIFS(Payments!$A$7:$A$206,B107,Payments!$H$7:$H$206,"pending")=1,COUNTIFS(Payments!$A$7:$A$206,B107,Payments!$H$7:$H$206,"failed")=1),0,"Review allocation")))))</x:f>
      </x:c>
    </x:row>
    <x:row r="108" ht="25" customHeight="1">
      <x:c r="A108" s="16"/>
      <x:c r="B108" s="16"/>
      <x:c r="C108" s="16"/>
      <x:c r="D108" s="19"/>
      <x:c r="E108" s="16"/>
      <x:c r="F108" s="32" t="str">
        <x:f>IF(A108="","",IF(OR(B108="",C108="",NOT(ISNUMBER(D108))),"Review allocation",IF(COUNTIF(Payments!$A$7:$A$206,B108)&lt;&gt;1,"Review allocation",IF(COUNTIFS(Payments!$A$7:$A$206,B108,Payments!$H$7:$H$206,"settled")=1,D108,IF(OR(COUNTIFS(Payments!$A$7:$A$206,B108,Payments!$H$7:$H$206,"pending")=1,COUNTIFS(Payments!$A$7:$A$206,B108,Payments!$H$7:$H$206,"failed")=1),0,"Review allocation")))))</x:f>
      </x:c>
    </x:row>
    <x:row r="109" ht="25" customHeight="1">
      <x:c r="A109" s="16"/>
      <x:c r="B109" s="16"/>
      <x:c r="C109" s="16"/>
      <x:c r="D109" s="19"/>
      <x:c r="E109" s="16"/>
      <x:c r="F109" s="32" t="str">
        <x:f>IF(A109="","",IF(OR(B109="",C109="",NOT(ISNUMBER(D109))),"Review allocation",IF(COUNTIF(Payments!$A$7:$A$206,B109)&lt;&gt;1,"Review allocation",IF(COUNTIFS(Payments!$A$7:$A$206,B109,Payments!$H$7:$H$206,"settled")=1,D109,IF(OR(COUNTIFS(Payments!$A$7:$A$206,B109,Payments!$H$7:$H$206,"pending")=1,COUNTIFS(Payments!$A$7:$A$206,B109,Payments!$H$7:$H$206,"failed")=1),0,"Review allocation")))))</x:f>
      </x:c>
    </x:row>
    <x:row r="110" ht="25" customHeight="1">
      <x:c r="A110" s="16"/>
      <x:c r="B110" s="16"/>
      <x:c r="C110" s="16"/>
      <x:c r="D110" s="19"/>
      <x:c r="E110" s="16"/>
      <x:c r="F110" s="32" t="str">
        <x:f>IF(A110="","",IF(OR(B110="",C110="",NOT(ISNUMBER(D110))),"Review allocation",IF(COUNTIF(Payments!$A$7:$A$206,B110)&lt;&gt;1,"Review allocation",IF(COUNTIFS(Payments!$A$7:$A$206,B110,Payments!$H$7:$H$206,"settled")=1,D110,IF(OR(COUNTIFS(Payments!$A$7:$A$206,B110,Payments!$H$7:$H$206,"pending")=1,COUNTIFS(Payments!$A$7:$A$206,B110,Payments!$H$7:$H$206,"failed")=1),0,"Review allocation")))))</x:f>
      </x:c>
    </x:row>
    <x:row r="111" ht="25" customHeight="1">
      <x:c r="A111" s="16"/>
      <x:c r="B111" s="16"/>
      <x:c r="C111" s="16"/>
      <x:c r="D111" s="19"/>
      <x:c r="E111" s="16"/>
      <x:c r="F111" s="32" t="str">
        <x:f>IF(A111="","",IF(OR(B111="",C111="",NOT(ISNUMBER(D111))),"Review allocation",IF(COUNTIF(Payments!$A$7:$A$206,B111)&lt;&gt;1,"Review allocation",IF(COUNTIFS(Payments!$A$7:$A$206,B111,Payments!$H$7:$H$206,"settled")=1,D111,IF(OR(COUNTIFS(Payments!$A$7:$A$206,B111,Payments!$H$7:$H$206,"pending")=1,COUNTIFS(Payments!$A$7:$A$206,B111,Payments!$H$7:$H$206,"failed")=1),0,"Review allocation")))))</x:f>
      </x:c>
    </x:row>
    <x:row r="112" ht="25" customHeight="1">
      <x:c r="A112" s="16"/>
      <x:c r="B112" s="16"/>
      <x:c r="C112" s="16"/>
      <x:c r="D112" s="19"/>
      <x:c r="E112" s="16"/>
      <x:c r="F112" s="32" t="str">
        <x:f>IF(A112="","",IF(OR(B112="",C112="",NOT(ISNUMBER(D112))),"Review allocation",IF(COUNTIF(Payments!$A$7:$A$206,B112)&lt;&gt;1,"Review allocation",IF(COUNTIFS(Payments!$A$7:$A$206,B112,Payments!$H$7:$H$206,"settled")=1,D112,IF(OR(COUNTIFS(Payments!$A$7:$A$206,B112,Payments!$H$7:$H$206,"pending")=1,COUNTIFS(Payments!$A$7:$A$206,B112,Payments!$H$7:$H$206,"failed")=1),0,"Review allocation")))))</x:f>
      </x:c>
    </x:row>
    <x:row r="113" ht="25" customHeight="1">
      <x:c r="A113" s="16"/>
      <x:c r="B113" s="16"/>
      <x:c r="C113" s="16"/>
      <x:c r="D113" s="19"/>
      <x:c r="E113" s="16"/>
      <x:c r="F113" s="32" t="str">
        <x:f>IF(A113="","",IF(OR(B113="",C113="",NOT(ISNUMBER(D113))),"Review allocation",IF(COUNTIF(Payments!$A$7:$A$206,B113)&lt;&gt;1,"Review allocation",IF(COUNTIFS(Payments!$A$7:$A$206,B113,Payments!$H$7:$H$206,"settled")=1,D113,IF(OR(COUNTIFS(Payments!$A$7:$A$206,B113,Payments!$H$7:$H$206,"pending")=1,COUNTIFS(Payments!$A$7:$A$206,B113,Payments!$H$7:$H$206,"failed")=1),0,"Review allocation")))))</x:f>
      </x:c>
    </x:row>
    <x:row r="114" ht="25" customHeight="1">
      <x:c r="A114" s="16"/>
      <x:c r="B114" s="16"/>
      <x:c r="C114" s="16"/>
      <x:c r="D114" s="19"/>
      <x:c r="E114" s="16"/>
      <x:c r="F114" s="32" t="str">
        <x:f>IF(A114="","",IF(OR(B114="",C114="",NOT(ISNUMBER(D114))),"Review allocation",IF(COUNTIF(Payments!$A$7:$A$206,B114)&lt;&gt;1,"Review allocation",IF(COUNTIFS(Payments!$A$7:$A$206,B114,Payments!$H$7:$H$206,"settled")=1,D114,IF(OR(COUNTIFS(Payments!$A$7:$A$206,B114,Payments!$H$7:$H$206,"pending")=1,COUNTIFS(Payments!$A$7:$A$206,B114,Payments!$H$7:$H$206,"failed")=1),0,"Review allocation")))))</x:f>
      </x:c>
    </x:row>
    <x:row r="115" ht="25" customHeight="1">
      <x:c r="A115" s="16"/>
      <x:c r="B115" s="16"/>
      <x:c r="C115" s="16"/>
      <x:c r="D115" s="19"/>
      <x:c r="E115" s="16"/>
      <x:c r="F115" s="32" t="str">
        <x:f>IF(A115="","",IF(OR(B115="",C115="",NOT(ISNUMBER(D115))),"Review allocation",IF(COUNTIF(Payments!$A$7:$A$206,B115)&lt;&gt;1,"Review allocation",IF(COUNTIFS(Payments!$A$7:$A$206,B115,Payments!$H$7:$H$206,"settled")=1,D115,IF(OR(COUNTIFS(Payments!$A$7:$A$206,B115,Payments!$H$7:$H$206,"pending")=1,COUNTIFS(Payments!$A$7:$A$206,B115,Payments!$H$7:$H$206,"failed")=1),0,"Review allocation")))))</x:f>
      </x:c>
    </x:row>
    <x:row r="116" ht="25" customHeight="1">
      <x:c r="A116" s="16"/>
      <x:c r="B116" s="16"/>
      <x:c r="C116" s="16"/>
      <x:c r="D116" s="19"/>
      <x:c r="E116" s="16"/>
      <x:c r="F116" s="32" t="str">
        <x:f>IF(A116="","",IF(OR(B116="",C116="",NOT(ISNUMBER(D116))),"Review allocation",IF(COUNTIF(Payments!$A$7:$A$206,B116)&lt;&gt;1,"Review allocation",IF(COUNTIFS(Payments!$A$7:$A$206,B116,Payments!$H$7:$H$206,"settled")=1,D116,IF(OR(COUNTIFS(Payments!$A$7:$A$206,B116,Payments!$H$7:$H$206,"pending")=1,COUNTIFS(Payments!$A$7:$A$206,B116,Payments!$H$7:$H$206,"failed")=1),0,"Review allocation")))))</x:f>
      </x:c>
    </x:row>
    <x:row r="117" ht="25" customHeight="1">
      <x:c r="A117" s="16"/>
      <x:c r="B117" s="16"/>
      <x:c r="C117" s="16"/>
      <x:c r="D117" s="19"/>
      <x:c r="E117" s="16"/>
      <x:c r="F117" s="32" t="str">
        <x:f>IF(A117="","",IF(OR(B117="",C117="",NOT(ISNUMBER(D117))),"Review allocation",IF(COUNTIF(Payments!$A$7:$A$206,B117)&lt;&gt;1,"Review allocation",IF(COUNTIFS(Payments!$A$7:$A$206,B117,Payments!$H$7:$H$206,"settled")=1,D117,IF(OR(COUNTIFS(Payments!$A$7:$A$206,B117,Payments!$H$7:$H$206,"pending")=1,COUNTIFS(Payments!$A$7:$A$206,B117,Payments!$H$7:$H$206,"failed")=1),0,"Review allocation")))))</x:f>
      </x:c>
    </x:row>
    <x:row r="118" ht="25" customHeight="1">
      <x:c r="A118" s="16"/>
      <x:c r="B118" s="16"/>
      <x:c r="C118" s="16"/>
      <x:c r="D118" s="19"/>
      <x:c r="E118" s="16"/>
      <x:c r="F118" s="32" t="str">
        <x:f>IF(A118="","",IF(OR(B118="",C118="",NOT(ISNUMBER(D118))),"Review allocation",IF(COUNTIF(Payments!$A$7:$A$206,B118)&lt;&gt;1,"Review allocation",IF(COUNTIFS(Payments!$A$7:$A$206,B118,Payments!$H$7:$H$206,"settled")=1,D118,IF(OR(COUNTIFS(Payments!$A$7:$A$206,B118,Payments!$H$7:$H$206,"pending")=1,COUNTIFS(Payments!$A$7:$A$206,B118,Payments!$H$7:$H$206,"failed")=1),0,"Review allocation")))))</x:f>
      </x:c>
    </x:row>
    <x:row r="119" ht="25" customHeight="1">
      <x:c r="A119" s="16"/>
      <x:c r="B119" s="16"/>
      <x:c r="C119" s="16"/>
      <x:c r="D119" s="19"/>
      <x:c r="E119" s="16"/>
      <x:c r="F119" s="32" t="str">
        <x:f>IF(A119="","",IF(OR(B119="",C119="",NOT(ISNUMBER(D119))),"Review allocation",IF(COUNTIF(Payments!$A$7:$A$206,B119)&lt;&gt;1,"Review allocation",IF(COUNTIFS(Payments!$A$7:$A$206,B119,Payments!$H$7:$H$206,"settled")=1,D119,IF(OR(COUNTIFS(Payments!$A$7:$A$206,B119,Payments!$H$7:$H$206,"pending")=1,COUNTIFS(Payments!$A$7:$A$206,B119,Payments!$H$7:$H$206,"failed")=1),0,"Review allocation")))))</x:f>
      </x:c>
    </x:row>
    <x:row r="120" ht="25" customHeight="1">
      <x:c r="A120" s="16"/>
      <x:c r="B120" s="16"/>
      <x:c r="C120" s="16"/>
      <x:c r="D120" s="19"/>
      <x:c r="E120" s="16"/>
      <x:c r="F120" s="32" t="str">
        <x:f>IF(A120="","",IF(OR(B120="",C120="",NOT(ISNUMBER(D120))),"Review allocation",IF(COUNTIF(Payments!$A$7:$A$206,B120)&lt;&gt;1,"Review allocation",IF(COUNTIFS(Payments!$A$7:$A$206,B120,Payments!$H$7:$H$206,"settled")=1,D120,IF(OR(COUNTIFS(Payments!$A$7:$A$206,B120,Payments!$H$7:$H$206,"pending")=1,COUNTIFS(Payments!$A$7:$A$206,B120,Payments!$H$7:$H$206,"failed")=1),0,"Review allocation")))))</x:f>
      </x:c>
    </x:row>
    <x:row r="121" ht="25" customHeight="1">
      <x:c r="A121" s="16"/>
      <x:c r="B121" s="16"/>
      <x:c r="C121" s="16"/>
      <x:c r="D121" s="19"/>
      <x:c r="E121" s="16"/>
      <x:c r="F121" s="32" t="str">
        <x:f>IF(A121="","",IF(OR(B121="",C121="",NOT(ISNUMBER(D121))),"Review allocation",IF(COUNTIF(Payments!$A$7:$A$206,B121)&lt;&gt;1,"Review allocation",IF(COUNTIFS(Payments!$A$7:$A$206,B121,Payments!$H$7:$H$206,"settled")=1,D121,IF(OR(COUNTIFS(Payments!$A$7:$A$206,B121,Payments!$H$7:$H$206,"pending")=1,COUNTIFS(Payments!$A$7:$A$206,B121,Payments!$H$7:$H$206,"failed")=1),0,"Review allocation")))))</x:f>
      </x:c>
    </x:row>
    <x:row r="122" ht="25" customHeight="1">
      <x:c r="A122" s="16"/>
      <x:c r="B122" s="16"/>
      <x:c r="C122" s="16"/>
      <x:c r="D122" s="19"/>
      <x:c r="E122" s="16"/>
      <x:c r="F122" s="32" t="str">
        <x:f>IF(A122="","",IF(OR(B122="",C122="",NOT(ISNUMBER(D122))),"Review allocation",IF(COUNTIF(Payments!$A$7:$A$206,B122)&lt;&gt;1,"Review allocation",IF(COUNTIFS(Payments!$A$7:$A$206,B122,Payments!$H$7:$H$206,"settled")=1,D122,IF(OR(COUNTIFS(Payments!$A$7:$A$206,B122,Payments!$H$7:$H$206,"pending")=1,COUNTIFS(Payments!$A$7:$A$206,B122,Payments!$H$7:$H$206,"failed")=1),0,"Review allocation")))))</x:f>
      </x:c>
    </x:row>
    <x:row r="123" ht="25" customHeight="1">
      <x:c r="A123" s="16"/>
      <x:c r="B123" s="16"/>
      <x:c r="C123" s="16"/>
      <x:c r="D123" s="19"/>
      <x:c r="E123" s="16"/>
      <x:c r="F123" s="32" t="str">
        <x:f>IF(A123="","",IF(OR(B123="",C123="",NOT(ISNUMBER(D123))),"Review allocation",IF(COUNTIF(Payments!$A$7:$A$206,B123)&lt;&gt;1,"Review allocation",IF(COUNTIFS(Payments!$A$7:$A$206,B123,Payments!$H$7:$H$206,"settled")=1,D123,IF(OR(COUNTIFS(Payments!$A$7:$A$206,B123,Payments!$H$7:$H$206,"pending")=1,COUNTIFS(Payments!$A$7:$A$206,B123,Payments!$H$7:$H$206,"failed")=1),0,"Review allocation")))))</x:f>
      </x:c>
    </x:row>
    <x:row r="124" ht="25" customHeight="1">
      <x:c r="A124" s="16"/>
      <x:c r="B124" s="16"/>
      <x:c r="C124" s="16"/>
      <x:c r="D124" s="19"/>
      <x:c r="E124" s="16"/>
      <x:c r="F124" s="32" t="str">
        <x:f>IF(A124="","",IF(OR(B124="",C124="",NOT(ISNUMBER(D124))),"Review allocation",IF(COUNTIF(Payments!$A$7:$A$206,B124)&lt;&gt;1,"Review allocation",IF(COUNTIFS(Payments!$A$7:$A$206,B124,Payments!$H$7:$H$206,"settled")=1,D124,IF(OR(COUNTIFS(Payments!$A$7:$A$206,B124,Payments!$H$7:$H$206,"pending")=1,COUNTIFS(Payments!$A$7:$A$206,B124,Payments!$H$7:$H$206,"failed")=1),0,"Review allocation")))))</x:f>
      </x:c>
    </x:row>
    <x:row r="125" ht="25" customHeight="1">
      <x:c r="A125" s="16"/>
      <x:c r="B125" s="16"/>
      <x:c r="C125" s="16"/>
      <x:c r="D125" s="19"/>
      <x:c r="E125" s="16"/>
      <x:c r="F125" s="32" t="str">
        <x:f>IF(A125="","",IF(OR(B125="",C125="",NOT(ISNUMBER(D125))),"Review allocation",IF(COUNTIF(Payments!$A$7:$A$206,B125)&lt;&gt;1,"Review allocation",IF(COUNTIFS(Payments!$A$7:$A$206,B125,Payments!$H$7:$H$206,"settled")=1,D125,IF(OR(COUNTIFS(Payments!$A$7:$A$206,B125,Payments!$H$7:$H$206,"pending")=1,COUNTIFS(Payments!$A$7:$A$206,B125,Payments!$H$7:$H$206,"failed")=1),0,"Review allocation")))))</x:f>
      </x:c>
    </x:row>
    <x:row r="126" ht="25" customHeight="1">
      <x:c r="A126" s="16"/>
      <x:c r="B126" s="16"/>
      <x:c r="C126" s="16"/>
      <x:c r="D126" s="19"/>
      <x:c r="E126" s="16"/>
      <x:c r="F126" s="32" t="str">
        <x:f>IF(A126="","",IF(OR(B126="",C126="",NOT(ISNUMBER(D126))),"Review allocation",IF(COUNTIF(Payments!$A$7:$A$206,B126)&lt;&gt;1,"Review allocation",IF(COUNTIFS(Payments!$A$7:$A$206,B126,Payments!$H$7:$H$206,"settled")=1,D126,IF(OR(COUNTIFS(Payments!$A$7:$A$206,B126,Payments!$H$7:$H$206,"pending")=1,COUNTIFS(Payments!$A$7:$A$206,B126,Payments!$H$7:$H$206,"failed")=1),0,"Review allocation")))))</x:f>
      </x:c>
    </x:row>
    <x:row r="127" ht="25" customHeight="1">
      <x:c r="A127" s="16"/>
      <x:c r="B127" s="16"/>
      <x:c r="C127" s="16"/>
      <x:c r="D127" s="19"/>
      <x:c r="E127" s="16"/>
      <x:c r="F127" s="32" t="str">
        <x:f>IF(A127="","",IF(OR(B127="",C127="",NOT(ISNUMBER(D127))),"Review allocation",IF(COUNTIF(Payments!$A$7:$A$206,B127)&lt;&gt;1,"Review allocation",IF(COUNTIFS(Payments!$A$7:$A$206,B127,Payments!$H$7:$H$206,"settled")=1,D127,IF(OR(COUNTIFS(Payments!$A$7:$A$206,B127,Payments!$H$7:$H$206,"pending")=1,COUNTIFS(Payments!$A$7:$A$206,B127,Payments!$H$7:$H$206,"failed")=1),0,"Review allocation")))))</x:f>
      </x:c>
    </x:row>
    <x:row r="128" ht="25" customHeight="1">
      <x:c r="A128" s="16"/>
      <x:c r="B128" s="16"/>
      <x:c r="C128" s="16"/>
      <x:c r="D128" s="19"/>
      <x:c r="E128" s="16"/>
      <x:c r="F128" s="32" t="str">
        <x:f>IF(A128="","",IF(OR(B128="",C128="",NOT(ISNUMBER(D128))),"Review allocation",IF(COUNTIF(Payments!$A$7:$A$206,B128)&lt;&gt;1,"Review allocation",IF(COUNTIFS(Payments!$A$7:$A$206,B128,Payments!$H$7:$H$206,"settled")=1,D128,IF(OR(COUNTIFS(Payments!$A$7:$A$206,B128,Payments!$H$7:$H$206,"pending")=1,COUNTIFS(Payments!$A$7:$A$206,B128,Payments!$H$7:$H$206,"failed")=1),0,"Review allocation")))))</x:f>
      </x:c>
    </x:row>
    <x:row r="129" ht="25" customHeight="1">
      <x:c r="A129" s="16"/>
      <x:c r="B129" s="16"/>
      <x:c r="C129" s="16"/>
      <x:c r="D129" s="19"/>
      <x:c r="E129" s="16"/>
      <x:c r="F129" s="32" t="str">
        <x:f>IF(A129="","",IF(OR(B129="",C129="",NOT(ISNUMBER(D129))),"Review allocation",IF(COUNTIF(Payments!$A$7:$A$206,B129)&lt;&gt;1,"Review allocation",IF(COUNTIFS(Payments!$A$7:$A$206,B129,Payments!$H$7:$H$206,"settled")=1,D129,IF(OR(COUNTIFS(Payments!$A$7:$A$206,B129,Payments!$H$7:$H$206,"pending")=1,COUNTIFS(Payments!$A$7:$A$206,B129,Payments!$H$7:$H$206,"failed")=1),0,"Review allocation")))))</x:f>
      </x:c>
    </x:row>
    <x:row r="130" ht="25" customHeight="1">
      <x:c r="A130" s="16"/>
      <x:c r="B130" s="16"/>
      <x:c r="C130" s="16"/>
      <x:c r="D130" s="19"/>
      <x:c r="E130" s="16"/>
      <x:c r="F130" s="32" t="str">
        <x:f>IF(A130="","",IF(OR(B130="",C130="",NOT(ISNUMBER(D130))),"Review allocation",IF(COUNTIF(Payments!$A$7:$A$206,B130)&lt;&gt;1,"Review allocation",IF(COUNTIFS(Payments!$A$7:$A$206,B130,Payments!$H$7:$H$206,"settled")=1,D130,IF(OR(COUNTIFS(Payments!$A$7:$A$206,B130,Payments!$H$7:$H$206,"pending")=1,COUNTIFS(Payments!$A$7:$A$206,B130,Payments!$H$7:$H$206,"failed")=1),0,"Review allocation")))))</x:f>
      </x:c>
    </x:row>
    <x:row r="131" ht="25" customHeight="1">
      <x:c r="A131" s="16"/>
      <x:c r="B131" s="16"/>
      <x:c r="C131" s="16"/>
      <x:c r="D131" s="19"/>
      <x:c r="E131" s="16"/>
      <x:c r="F131" s="32" t="str">
        <x:f>IF(A131="","",IF(OR(B131="",C131="",NOT(ISNUMBER(D131))),"Review allocation",IF(COUNTIF(Payments!$A$7:$A$206,B131)&lt;&gt;1,"Review allocation",IF(COUNTIFS(Payments!$A$7:$A$206,B131,Payments!$H$7:$H$206,"settled")=1,D131,IF(OR(COUNTIFS(Payments!$A$7:$A$206,B131,Payments!$H$7:$H$206,"pending")=1,COUNTIFS(Payments!$A$7:$A$206,B131,Payments!$H$7:$H$206,"failed")=1),0,"Review allocation")))))</x:f>
      </x:c>
    </x:row>
    <x:row r="132" ht="25" customHeight="1">
      <x:c r="A132" s="16"/>
      <x:c r="B132" s="16"/>
      <x:c r="C132" s="16"/>
      <x:c r="D132" s="19"/>
      <x:c r="E132" s="16"/>
      <x:c r="F132" s="32" t="str">
        <x:f>IF(A132="","",IF(OR(B132="",C132="",NOT(ISNUMBER(D132))),"Review allocation",IF(COUNTIF(Payments!$A$7:$A$206,B132)&lt;&gt;1,"Review allocation",IF(COUNTIFS(Payments!$A$7:$A$206,B132,Payments!$H$7:$H$206,"settled")=1,D132,IF(OR(COUNTIFS(Payments!$A$7:$A$206,B132,Payments!$H$7:$H$206,"pending")=1,COUNTIFS(Payments!$A$7:$A$206,B132,Payments!$H$7:$H$206,"failed")=1),0,"Review allocation")))))</x:f>
      </x:c>
    </x:row>
    <x:row r="133" ht="25" customHeight="1">
      <x:c r="A133" s="16"/>
      <x:c r="B133" s="16"/>
      <x:c r="C133" s="16"/>
      <x:c r="D133" s="19"/>
      <x:c r="E133" s="16"/>
      <x:c r="F133" s="32" t="str">
        <x:f>IF(A133="","",IF(OR(B133="",C133="",NOT(ISNUMBER(D133))),"Review allocation",IF(COUNTIF(Payments!$A$7:$A$206,B133)&lt;&gt;1,"Review allocation",IF(COUNTIFS(Payments!$A$7:$A$206,B133,Payments!$H$7:$H$206,"settled")=1,D133,IF(OR(COUNTIFS(Payments!$A$7:$A$206,B133,Payments!$H$7:$H$206,"pending")=1,COUNTIFS(Payments!$A$7:$A$206,B133,Payments!$H$7:$H$206,"failed")=1),0,"Review allocation")))))</x:f>
      </x:c>
    </x:row>
    <x:row r="134" ht="25" customHeight="1">
      <x:c r="A134" s="16"/>
      <x:c r="B134" s="16"/>
      <x:c r="C134" s="16"/>
      <x:c r="D134" s="19"/>
      <x:c r="E134" s="16"/>
      <x:c r="F134" s="32" t="str">
        <x:f>IF(A134="","",IF(OR(B134="",C134="",NOT(ISNUMBER(D134))),"Review allocation",IF(COUNTIF(Payments!$A$7:$A$206,B134)&lt;&gt;1,"Review allocation",IF(COUNTIFS(Payments!$A$7:$A$206,B134,Payments!$H$7:$H$206,"settled")=1,D134,IF(OR(COUNTIFS(Payments!$A$7:$A$206,B134,Payments!$H$7:$H$206,"pending")=1,COUNTIFS(Payments!$A$7:$A$206,B134,Payments!$H$7:$H$206,"failed")=1),0,"Review allocation")))))</x:f>
      </x:c>
    </x:row>
    <x:row r="135" ht="25" customHeight="1">
      <x:c r="A135" s="16"/>
      <x:c r="B135" s="16"/>
      <x:c r="C135" s="16"/>
      <x:c r="D135" s="19"/>
      <x:c r="E135" s="16"/>
      <x:c r="F135" s="32" t="str">
        <x:f>IF(A135="","",IF(OR(B135="",C135="",NOT(ISNUMBER(D135))),"Review allocation",IF(COUNTIF(Payments!$A$7:$A$206,B135)&lt;&gt;1,"Review allocation",IF(COUNTIFS(Payments!$A$7:$A$206,B135,Payments!$H$7:$H$206,"settled")=1,D135,IF(OR(COUNTIFS(Payments!$A$7:$A$206,B135,Payments!$H$7:$H$206,"pending")=1,COUNTIFS(Payments!$A$7:$A$206,B135,Payments!$H$7:$H$206,"failed")=1),0,"Review allocation")))))</x:f>
      </x:c>
    </x:row>
    <x:row r="136" ht="25" customHeight="1">
      <x:c r="A136" s="16"/>
      <x:c r="B136" s="16"/>
      <x:c r="C136" s="16"/>
      <x:c r="D136" s="19"/>
      <x:c r="E136" s="16"/>
      <x:c r="F136" s="32" t="str">
        <x:f>IF(A136="","",IF(OR(B136="",C136="",NOT(ISNUMBER(D136))),"Review allocation",IF(COUNTIF(Payments!$A$7:$A$206,B136)&lt;&gt;1,"Review allocation",IF(COUNTIFS(Payments!$A$7:$A$206,B136,Payments!$H$7:$H$206,"settled")=1,D136,IF(OR(COUNTIFS(Payments!$A$7:$A$206,B136,Payments!$H$7:$H$206,"pending")=1,COUNTIFS(Payments!$A$7:$A$206,B136,Payments!$H$7:$H$206,"failed")=1),0,"Review allocation")))))</x:f>
      </x:c>
    </x:row>
    <x:row r="137" ht="25" customHeight="1">
      <x:c r="A137" s="16"/>
      <x:c r="B137" s="16"/>
      <x:c r="C137" s="16"/>
      <x:c r="D137" s="19"/>
      <x:c r="E137" s="16"/>
      <x:c r="F137" s="32" t="str">
        <x:f>IF(A137="","",IF(OR(B137="",C137="",NOT(ISNUMBER(D137))),"Review allocation",IF(COUNTIF(Payments!$A$7:$A$206,B137)&lt;&gt;1,"Review allocation",IF(COUNTIFS(Payments!$A$7:$A$206,B137,Payments!$H$7:$H$206,"settled")=1,D137,IF(OR(COUNTIFS(Payments!$A$7:$A$206,B137,Payments!$H$7:$H$206,"pending")=1,COUNTIFS(Payments!$A$7:$A$206,B137,Payments!$H$7:$H$206,"failed")=1),0,"Review allocation")))))</x:f>
      </x:c>
    </x:row>
    <x:row r="138" ht="25" customHeight="1">
      <x:c r="A138" s="16"/>
      <x:c r="B138" s="16"/>
      <x:c r="C138" s="16"/>
      <x:c r="D138" s="19"/>
      <x:c r="E138" s="16"/>
      <x:c r="F138" s="32" t="str">
        <x:f>IF(A138="","",IF(OR(B138="",C138="",NOT(ISNUMBER(D138))),"Review allocation",IF(COUNTIF(Payments!$A$7:$A$206,B138)&lt;&gt;1,"Review allocation",IF(COUNTIFS(Payments!$A$7:$A$206,B138,Payments!$H$7:$H$206,"settled")=1,D138,IF(OR(COUNTIFS(Payments!$A$7:$A$206,B138,Payments!$H$7:$H$206,"pending")=1,COUNTIFS(Payments!$A$7:$A$206,B138,Payments!$H$7:$H$206,"failed")=1),0,"Review allocation")))))</x:f>
      </x:c>
    </x:row>
    <x:row r="139" ht="25" customHeight="1">
      <x:c r="A139" s="16"/>
      <x:c r="B139" s="16"/>
      <x:c r="C139" s="16"/>
      <x:c r="D139" s="19"/>
      <x:c r="E139" s="16"/>
      <x:c r="F139" s="32" t="str">
        <x:f>IF(A139="","",IF(OR(B139="",C139="",NOT(ISNUMBER(D139))),"Review allocation",IF(COUNTIF(Payments!$A$7:$A$206,B139)&lt;&gt;1,"Review allocation",IF(COUNTIFS(Payments!$A$7:$A$206,B139,Payments!$H$7:$H$206,"settled")=1,D139,IF(OR(COUNTIFS(Payments!$A$7:$A$206,B139,Payments!$H$7:$H$206,"pending")=1,COUNTIFS(Payments!$A$7:$A$206,B139,Payments!$H$7:$H$206,"failed")=1),0,"Review allocation")))))</x:f>
      </x:c>
    </x:row>
    <x:row r="140" ht="25" customHeight="1">
      <x:c r="A140" s="16"/>
      <x:c r="B140" s="16"/>
      <x:c r="C140" s="16"/>
      <x:c r="D140" s="19"/>
      <x:c r="E140" s="16"/>
      <x:c r="F140" s="32" t="str">
        <x:f>IF(A140="","",IF(OR(B140="",C140="",NOT(ISNUMBER(D140))),"Review allocation",IF(COUNTIF(Payments!$A$7:$A$206,B140)&lt;&gt;1,"Review allocation",IF(COUNTIFS(Payments!$A$7:$A$206,B140,Payments!$H$7:$H$206,"settled")=1,D140,IF(OR(COUNTIFS(Payments!$A$7:$A$206,B140,Payments!$H$7:$H$206,"pending")=1,COUNTIFS(Payments!$A$7:$A$206,B140,Payments!$H$7:$H$206,"failed")=1),0,"Review allocation")))))</x:f>
      </x:c>
    </x:row>
    <x:row r="141" ht="25" customHeight="1">
      <x:c r="A141" s="16"/>
      <x:c r="B141" s="16"/>
      <x:c r="C141" s="16"/>
      <x:c r="D141" s="19"/>
      <x:c r="E141" s="16"/>
      <x:c r="F141" s="32" t="str">
        <x:f>IF(A141="","",IF(OR(B141="",C141="",NOT(ISNUMBER(D141))),"Review allocation",IF(COUNTIF(Payments!$A$7:$A$206,B141)&lt;&gt;1,"Review allocation",IF(COUNTIFS(Payments!$A$7:$A$206,B141,Payments!$H$7:$H$206,"settled")=1,D141,IF(OR(COUNTIFS(Payments!$A$7:$A$206,B141,Payments!$H$7:$H$206,"pending")=1,COUNTIFS(Payments!$A$7:$A$206,B141,Payments!$H$7:$H$206,"failed")=1),0,"Review allocation")))))</x:f>
      </x:c>
    </x:row>
    <x:row r="142" ht="25" customHeight="1">
      <x:c r="A142" s="16"/>
      <x:c r="B142" s="16"/>
      <x:c r="C142" s="16"/>
      <x:c r="D142" s="19"/>
      <x:c r="E142" s="16"/>
      <x:c r="F142" s="32" t="str">
        <x:f>IF(A142="","",IF(OR(B142="",C142="",NOT(ISNUMBER(D142))),"Review allocation",IF(COUNTIF(Payments!$A$7:$A$206,B142)&lt;&gt;1,"Review allocation",IF(COUNTIFS(Payments!$A$7:$A$206,B142,Payments!$H$7:$H$206,"settled")=1,D142,IF(OR(COUNTIFS(Payments!$A$7:$A$206,B142,Payments!$H$7:$H$206,"pending")=1,COUNTIFS(Payments!$A$7:$A$206,B142,Payments!$H$7:$H$206,"failed")=1),0,"Review allocation")))))</x:f>
      </x:c>
    </x:row>
    <x:row r="143" ht="25" customHeight="1">
      <x:c r="A143" s="16"/>
      <x:c r="B143" s="16"/>
      <x:c r="C143" s="16"/>
      <x:c r="D143" s="19"/>
      <x:c r="E143" s="16"/>
      <x:c r="F143" s="32" t="str">
        <x:f>IF(A143="","",IF(OR(B143="",C143="",NOT(ISNUMBER(D143))),"Review allocation",IF(COUNTIF(Payments!$A$7:$A$206,B143)&lt;&gt;1,"Review allocation",IF(COUNTIFS(Payments!$A$7:$A$206,B143,Payments!$H$7:$H$206,"settled")=1,D143,IF(OR(COUNTIFS(Payments!$A$7:$A$206,B143,Payments!$H$7:$H$206,"pending")=1,COUNTIFS(Payments!$A$7:$A$206,B143,Payments!$H$7:$H$206,"failed")=1),0,"Review allocation")))))</x:f>
      </x:c>
    </x:row>
    <x:row r="144" ht="25" customHeight="1">
      <x:c r="A144" s="16"/>
      <x:c r="B144" s="16"/>
      <x:c r="C144" s="16"/>
      <x:c r="D144" s="19"/>
      <x:c r="E144" s="16"/>
      <x:c r="F144" s="32" t="str">
        <x:f>IF(A144="","",IF(OR(B144="",C144="",NOT(ISNUMBER(D144))),"Review allocation",IF(COUNTIF(Payments!$A$7:$A$206,B144)&lt;&gt;1,"Review allocation",IF(COUNTIFS(Payments!$A$7:$A$206,B144,Payments!$H$7:$H$206,"settled")=1,D144,IF(OR(COUNTIFS(Payments!$A$7:$A$206,B144,Payments!$H$7:$H$206,"pending")=1,COUNTIFS(Payments!$A$7:$A$206,B144,Payments!$H$7:$H$206,"failed")=1),0,"Review allocation")))))</x:f>
      </x:c>
    </x:row>
    <x:row r="145" ht="25" customHeight="1">
      <x:c r="A145" s="16"/>
      <x:c r="B145" s="16"/>
      <x:c r="C145" s="16"/>
      <x:c r="D145" s="19"/>
      <x:c r="E145" s="16"/>
      <x:c r="F145" s="32" t="str">
        <x:f>IF(A145="","",IF(OR(B145="",C145="",NOT(ISNUMBER(D145))),"Review allocation",IF(COUNTIF(Payments!$A$7:$A$206,B145)&lt;&gt;1,"Review allocation",IF(COUNTIFS(Payments!$A$7:$A$206,B145,Payments!$H$7:$H$206,"settled")=1,D145,IF(OR(COUNTIFS(Payments!$A$7:$A$206,B145,Payments!$H$7:$H$206,"pending")=1,COUNTIFS(Payments!$A$7:$A$206,B145,Payments!$H$7:$H$206,"failed")=1),0,"Review allocation")))))</x:f>
      </x:c>
    </x:row>
    <x:row r="146" ht="25" customHeight="1">
      <x:c r="A146" s="16"/>
      <x:c r="B146" s="16"/>
      <x:c r="C146" s="16"/>
      <x:c r="D146" s="19"/>
      <x:c r="E146" s="16"/>
      <x:c r="F146" s="32" t="str">
        <x:f>IF(A146="","",IF(OR(B146="",C146="",NOT(ISNUMBER(D146))),"Review allocation",IF(COUNTIF(Payments!$A$7:$A$206,B146)&lt;&gt;1,"Review allocation",IF(COUNTIFS(Payments!$A$7:$A$206,B146,Payments!$H$7:$H$206,"settled")=1,D146,IF(OR(COUNTIFS(Payments!$A$7:$A$206,B146,Payments!$H$7:$H$206,"pending")=1,COUNTIFS(Payments!$A$7:$A$206,B146,Payments!$H$7:$H$206,"failed")=1),0,"Review allocation")))))</x:f>
      </x:c>
    </x:row>
    <x:row r="147" ht="25" customHeight="1">
      <x:c r="A147" s="16"/>
      <x:c r="B147" s="16"/>
      <x:c r="C147" s="16"/>
      <x:c r="D147" s="19"/>
      <x:c r="E147" s="16"/>
      <x:c r="F147" s="32" t="str">
        <x:f>IF(A147="","",IF(OR(B147="",C147="",NOT(ISNUMBER(D147))),"Review allocation",IF(COUNTIF(Payments!$A$7:$A$206,B147)&lt;&gt;1,"Review allocation",IF(COUNTIFS(Payments!$A$7:$A$206,B147,Payments!$H$7:$H$206,"settled")=1,D147,IF(OR(COUNTIFS(Payments!$A$7:$A$206,B147,Payments!$H$7:$H$206,"pending")=1,COUNTIFS(Payments!$A$7:$A$206,B147,Payments!$H$7:$H$206,"failed")=1),0,"Review allocation")))))</x:f>
      </x:c>
    </x:row>
    <x:row r="148" ht="25" customHeight="1">
      <x:c r="A148" s="16"/>
      <x:c r="B148" s="16"/>
      <x:c r="C148" s="16"/>
      <x:c r="D148" s="19"/>
      <x:c r="E148" s="16"/>
      <x:c r="F148" s="32" t="str">
        <x:f>IF(A148="","",IF(OR(B148="",C148="",NOT(ISNUMBER(D148))),"Review allocation",IF(COUNTIF(Payments!$A$7:$A$206,B148)&lt;&gt;1,"Review allocation",IF(COUNTIFS(Payments!$A$7:$A$206,B148,Payments!$H$7:$H$206,"settled")=1,D148,IF(OR(COUNTIFS(Payments!$A$7:$A$206,B148,Payments!$H$7:$H$206,"pending")=1,COUNTIFS(Payments!$A$7:$A$206,B148,Payments!$H$7:$H$206,"failed")=1),0,"Review allocation")))))</x:f>
      </x:c>
    </x:row>
    <x:row r="149" ht="25" customHeight="1">
      <x:c r="A149" s="16"/>
      <x:c r="B149" s="16"/>
      <x:c r="C149" s="16"/>
      <x:c r="D149" s="19"/>
      <x:c r="E149" s="16"/>
      <x:c r="F149" s="32" t="str">
        <x:f>IF(A149="","",IF(OR(B149="",C149="",NOT(ISNUMBER(D149))),"Review allocation",IF(COUNTIF(Payments!$A$7:$A$206,B149)&lt;&gt;1,"Review allocation",IF(COUNTIFS(Payments!$A$7:$A$206,B149,Payments!$H$7:$H$206,"settled")=1,D149,IF(OR(COUNTIFS(Payments!$A$7:$A$206,B149,Payments!$H$7:$H$206,"pending")=1,COUNTIFS(Payments!$A$7:$A$206,B149,Payments!$H$7:$H$206,"failed")=1),0,"Review allocation")))))</x:f>
      </x:c>
    </x:row>
    <x:row r="150" ht="25" customHeight="1">
      <x:c r="A150" s="16"/>
      <x:c r="B150" s="16"/>
      <x:c r="C150" s="16"/>
      <x:c r="D150" s="19"/>
      <x:c r="E150" s="16"/>
      <x:c r="F150" s="32" t="str">
        <x:f>IF(A150="","",IF(OR(B150="",C150="",NOT(ISNUMBER(D150))),"Review allocation",IF(COUNTIF(Payments!$A$7:$A$206,B150)&lt;&gt;1,"Review allocation",IF(COUNTIFS(Payments!$A$7:$A$206,B150,Payments!$H$7:$H$206,"settled")=1,D150,IF(OR(COUNTIFS(Payments!$A$7:$A$206,B150,Payments!$H$7:$H$206,"pending")=1,COUNTIFS(Payments!$A$7:$A$206,B150,Payments!$H$7:$H$206,"failed")=1),0,"Review allocation")))))</x:f>
      </x:c>
    </x:row>
    <x:row r="151" ht="25" customHeight="1">
      <x:c r="A151" s="16"/>
      <x:c r="B151" s="16"/>
      <x:c r="C151" s="16"/>
      <x:c r="D151" s="19"/>
      <x:c r="E151" s="16"/>
      <x:c r="F151" s="32" t="str">
        <x:f>IF(A151="","",IF(OR(B151="",C151="",NOT(ISNUMBER(D151))),"Review allocation",IF(COUNTIF(Payments!$A$7:$A$206,B151)&lt;&gt;1,"Review allocation",IF(COUNTIFS(Payments!$A$7:$A$206,B151,Payments!$H$7:$H$206,"settled")=1,D151,IF(OR(COUNTIFS(Payments!$A$7:$A$206,B151,Payments!$H$7:$H$206,"pending")=1,COUNTIFS(Payments!$A$7:$A$206,B151,Payments!$H$7:$H$206,"failed")=1),0,"Review allocation")))))</x:f>
      </x:c>
    </x:row>
    <x:row r="152" ht="25" customHeight="1">
      <x:c r="A152" s="16"/>
      <x:c r="B152" s="16"/>
      <x:c r="C152" s="16"/>
      <x:c r="D152" s="19"/>
      <x:c r="E152" s="16"/>
      <x:c r="F152" s="32" t="str">
        <x:f>IF(A152="","",IF(OR(B152="",C152="",NOT(ISNUMBER(D152))),"Review allocation",IF(COUNTIF(Payments!$A$7:$A$206,B152)&lt;&gt;1,"Review allocation",IF(COUNTIFS(Payments!$A$7:$A$206,B152,Payments!$H$7:$H$206,"settled")=1,D152,IF(OR(COUNTIFS(Payments!$A$7:$A$206,B152,Payments!$H$7:$H$206,"pending")=1,COUNTIFS(Payments!$A$7:$A$206,B152,Payments!$H$7:$H$206,"failed")=1),0,"Review allocation")))))</x:f>
      </x:c>
    </x:row>
    <x:row r="153" ht="25" customHeight="1">
      <x:c r="A153" s="16"/>
      <x:c r="B153" s="16"/>
      <x:c r="C153" s="16"/>
      <x:c r="D153" s="19"/>
      <x:c r="E153" s="16"/>
      <x:c r="F153" s="32" t="str">
        <x:f>IF(A153="","",IF(OR(B153="",C153="",NOT(ISNUMBER(D153))),"Review allocation",IF(COUNTIF(Payments!$A$7:$A$206,B153)&lt;&gt;1,"Review allocation",IF(COUNTIFS(Payments!$A$7:$A$206,B153,Payments!$H$7:$H$206,"settled")=1,D153,IF(OR(COUNTIFS(Payments!$A$7:$A$206,B153,Payments!$H$7:$H$206,"pending")=1,COUNTIFS(Payments!$A$7:$A$206,B153,Payments!$H$7:$H$206,"failed")=1),0,"Review allocation")))))</x:f>
      </x:c>
    </x:row>
    <x:row r="154" ht="25" customHeight="1">
      <x:c r="A154" s="16"/>
      <x:c r="B154" s="16"/>
      <x:c r="C154" s="16"/>
      <x:c r="D154" s="19"/>
      <x:c r="E154" s="16"/>
      <x:c r="F154" s="32" t="str">
        <x:f>IF(A154="","",IF(OR(B154="",C154="",NOT(ISNUMBER(D154))),"Review allocation",IF(COUNTIF(Payments!$A$7:$A$206,B154)&lt;&gt;1,"Review allocation",IF(COUNTIFS(Payments!$A$7:$A$206,B154,Payments!$H$7:$H$206,"settled")=1,D154,IF(OR(COUNTIFS(Payments!$A$7:$A$206,B154,Payments!$H$7:$H$206,"pending")=1,COUNTIFS(Payments!$A$7:$A$206,B154,Payments!$H$7:$H$206,"failed")=1),0,"Review allocation")))))</x:f>
      </x:c>
    </x:row>
    <x:row r="155" ht="25" customHeight="1">
      <x:c r="A155" s="16"/>
      <x:c r="B155" s="16"/>
      <x:c r="C155" s="16"/>
      <x:c r="D155" s="19"/>
      <x:c r="E155" s="16"/>
      <x:c r="F155" s="32" t="str">
        <x:f>IF(A155="","",IF(OR(B155="",C155="",NOT(ISNUMBER(D155))),"Review allocation",IF(COUNTIF(Payments!$A$7:$A$206,B155)&lt;&gt;1,"Review allocation",IF(COUNTIFS(Payments!$A$7:$A$206,B155,Payments!$H$7:$H$206,"settled")=1,D155,IF(OR(COUNTIFS(Payments!$A$7:$A$206,B155,Payments!$H$7:$H$206,"pending")=1,COUNTIFS(Payments!$A$7:$A$206,B155,Payments!$H$7:$H$206,"failed")=1),0,"Review allocation")))))</x:f>
      </x:c>
    </x:row>
    <x:row r="156" ht="25" customHeight="1">
      <x:c r="A156" s="16"/>
      <x:c r="B156" s="16"/>
      <x:c r="C156" s="16"/>
      <x:c r="D156" s="19"/>
      <x:c r="E156" s="16"/>
      <x:c r="F156" s="32" t="str">
        <x:f>IF(A156="","",IF(OR(B156="",C156="",NOT(ISNUMBER(D156))),"Review allocation",IF(COUNTIF(Payments!$A$7:$A$206,B156)&lt;&gt;1,"Review allocation",IF(COUNTIFS(Payments!$A$7:$A$206,B156,Payments!$H$7:$H$206,"settled")=1,D156,IF(OR(COUNTIFS(Payments!$A$7:$A$206,B156,Payments!$H$7:$H$206,"pending")=1,COUNTIFS(Payments!$A$7:$A$206,B156,Payments!$H$7:$H$206,"failed")=1),0,"Review allocation")))))</x:f>
      </x:c>
    </x:row>
    <x:row r="157" ht="25" customHeight="1">
      <x:c r="A157" s="16"/>
      <x:c r="B157" s="16"/>
      <x:c r="C157" s="16"/>
      <x:c r="D157" s="19"/>
      <x:c r="E157" s="16"/>
      <x:c r="F157" s="32" t="str">
        <x:f>IF(A157="","",IF(OR(B157="",C157="",NOT(ISNUMBER(D157))),"Review allocation",IF(COUNTIF(Payments!$A$7:$A$206,B157)&lt;&gt;1,"Review allocation",IF(COUNTIFS(Payments!$A$7:$A$206,B157,Payments!$H$7:$H$206,"settled")=1,D157,IF(OR(COUNTIFS(Payments!$A$7:$A$206,B157,Payments!$H$7:$H$206,"pending")=1,COUNTIFS(Payments!$A$7:$A$206,B157,Payments!$H$7:$H$206,"failed")=1),0,"Review allocation")))))</x:f>
      </x:c>
    </x:row>
    <x:row r="158" ht="25" customHeight="1">
      <x:c r="A158" s="16"/>
      <x:c r="B158" s="16"/>
      <x:c r="C158" s="16"/>
      <x:c r="D158" s="19"/>
      <x:c r="E158" s="16"/>
      <x:c r="F158" s="32" t="str">
        <x:f>IF(A158="","",IF(OR(B158="",C158="",NOT(ISNUMBER(D158))),"Review allocation",IF(COUNTIF(Payments!$A$7:$A$206,B158)&lt;&gt;1,"Review allocation",IF(COUNTIFS(Payments!$A$7:$A$206,B158,Payments!$H$7:$H$206,"settled")=1,D158,IF(OR(COUNTIFS(Payments!$A$7:$A$206,B158,Payments!$H$7:$H$206,"pending")=1,COUNTIFS(Payments!$A$7:$A$206,B158,Payments!$H$7:$H$206,"failed")=1),0,"Review allocation")))))</x:f>
      </x:c>
    </x:row>
    <x:row r="159" ht="25" customHeight="1">
      <x:c r="A159" s="16"/>
      <x:c r="B159" s="16"/>
      <x:c r="C159" s="16"/>
      <x:c r="D159" s="19"/>
      <x:c r="E159" s="16"/>
      <x:c r="F159" s="32" t="str">
        <x:f>IF(A159="","",IF(OR(B159="",C159="",NOT(ISNUMBER(D159))),"Review allocation",IF(COUNTIF(Payments!$A$7:$A$206,B159)&lt;&gt;1,"Review allocation",IF(COUNTIFS(Payments!$A$7:$A$206,B159,Payments!$H$7:$H$206,"settled")=1,D159,IF(OR(COUNTIFS(Payments!$A$7:$A$206,B159,Payments!$H$7:$H$206,"pending")=1,COUNTIFS(Payments!$A$7:$A$206,B159,Payments!$H$7:$H$206,"failed")=1),0,"Review allocation")))))</x:f>
      </x:c>
    </x:row>
    <x:row r="160" ht="25" customHeight="1">
      <x:c r="A160" s="16"/>
      <x:c r="B160" s="16"/>
      <x:c r="C160" s="16"/>
      <x:c r="D160" s="19"/>
      <x:c r="E160" s="16"/>
      <x:c r="F160" s="32" t="str">
        <x:f>IF(A160="","",IF(OR(B160="",C160="",NOT(ISNUMBER(D160))),"Review allocation",IF(COUNTIF(Payments!$A$7:$A$206,B160)&lt;&gt;1,"Review allocation",IF(COUNTIFS(Payments!$A$7:$A$206,B160,Payments!$H$7:$H$206,"settled")=1,D160,IF(OR(COUNTIFS(Payments!$A$7:$A$206,B160,Payments!$H$7:$H$206,"pending")=1,COUNTIFS(Payments!$A$7:$A$206,B160,Payments!$H$7:$H$206,"failed")=1),0,"Review allocation")))))</x:f>
      </x:c>
    </x:row>
    <x:row r="161" ht="25" customHeight="1">
      <x:c r="A161" s="16"/>
      <x:c r="B161" s="16"/>
      <x:c r="C161" s="16"/>
      <x:c r="D161" s="19"/>
      <x:c r="E161" s="16"/>
      <x:c r="F161" s="32" t="str">
        <x:f>IF(A161="","",IF(OR(B161="",C161="",NOT(ISNUMBER(D161))),"Review allocation",IF(COUNTIF(Payments!$A$7:$A$206,B161)&lt;&gt;1,"Review allocation",IF(COUNTIFS(Payments!$A$7:$A$206,B161,Payments!$H$7:$H$206,"settled")=1,D161,IF(OR(COUNTIFS(Payments!$A$7:$A$206,B161,Payments!$H$7:$H$206,"pending")=1,COUNTIFS(Payments!$A$7:$A$206,B161,Payments!$H$7:$H$206,"failed")=1),0,"Review allocation")))))</x:f>
      </x:c>
    </x:row>
    <x:row r="162" ht="25" customHeight="1">
      <x:c r="A162" s="16"/>
      <x:c r="B162" s="16"/>
      <x:c r="C162" s="16"/>
      <x:c r="D162" s="19"/>
      <x:c r="E162" s="16"/>
      <x:c r="F162" s="32" t="str">
        <x:f>IF(A162="","",IF(OR(B162="",C162="",NOT(ISNUMBER(D162))),"Review allocation",IF(COUNTIF(Payments!$A$7:$A$206,B162)&lt;&gt;1,"Review allocation",IF(COUNTIFS(Payments!$A$7:$A$206,B162,Payments!$H$7:$H$206,"settled")=1,D162,IF(OR(COUNTIFS(Payments!$A$7:$A$206,B162,Payments!$H$7:$H$206,"pending")=1,COUNTIFS(Payments!$A$7:$A$206,B162,Payments!$H$7:$H$206,"failed")=1),0,"Review allocation")))))</x:f>
      </x:c>
    </x:row>
    <x:row r="163" ht="25" customHeight="1">
      <x:c r="A163" s="16"/>
      <x:c r="B163" s="16"/>
      <x:c r="C163" s="16"/>
      <x:c r="D163" s="19"/>
      <x:c r="E163" s="16"/>
      <x:c r="F163" s="32" t="str">
        <x:f>IF(A163="","",IF(OR(B163="",C163="",NOT(ISNUMBER(D163))),"Review allocation",IF(COUNTIF(Payments!$A$7:$A$206,B163)&lt;&gt;1,"Review allocation",IF(COUNTIFS(Payments!$A$7:$A$206,B163,Payments!$H$7:$H$206,"settled")=1,D163,IF(OR(COUNTIFS(Payments!$A$7:$A$206,B163,Payments!$H$7:$H$206,"pending")=1,COUNTIFS(Payments!$A$7:$A$206,B163,Payments!$H$7:$H$206,"failed")=1),0,"Review allocation")))))</x:f>
      </x:c>
    </x:row>
    <x:row r="164" ht="25" customHeight="1">
      <x:c r="A164" s="16"/>
      <x:c r="B164" s="16"/>
      <x:c r="C164" s="16"/>
      <x:c r="D164" s="19"/>
      <x:c r="E164" s="16"/>
      <x:c r="F164" s="32" t="str">
        <x:f>IF(A164="","",IF(OR(B164="",C164="",NOT(ISNUMBER(D164))),"Review allocation",IF(COUNTIF(Payments!$A$7:$A$206,B164)&lt;&gt;1,"Review allocation",IF(COUNTIFS(Payments!$A$7:$A$206,B164,Payments!$H$7:$H$206,"settled")=1,D164,IF(OR(COUNTIFS(Payments!$A$7:$A$206,B164,Payments!$H$7:$H$206,"pending")=1,COUNTIFS(Payments!$A$7:$A$206,B164,Payments!$H$7:$H$206,"failed")=1),0,"Review allocation")))))</x:f>
      </x:c>
    </x:row>
    <x:row r="165" ht="25" customHeight="1">
      <x:c r="A165" s="16"/>
      <x:c r="B165" s="16"/>
      <x:c r="C165" s="16"/>
      <x:c r="D165" s="19"/>
      <x:c r="E165" s="16"/>
      <x:c r="F165" s="32" t="str">
        <x:f>IF(A165="","",IF(OR(B165="",C165="",NOT(ISNUMBER(D165))),"Review allocation",IF(COUNTIF(Payments!$A$7:$A$206,B165)&lt;&gt;1,"Review allocation",IF(COUNTIFS(Payments!$A$7:$A$206,B165,Payments!$H$7:$H$206,"settled")=1,D165,IF(OR(COUNTIFS(Payments!$A$7:$A$206,B165,Payments!$H$7:$H$206,"pending")=1,COUNTIFS(Payments!$A$7:$A$206,B165,Payments!$H$7:$H$206,"failed")=1),0,"Review allocation")))))</x:f>
      </x:c>
    </x:row>
    <x:row r="166" ht="25" customHeight="1">
      <x:c r="A166" s="16"/>
      <x:c r="B166" s="16"/>
      <x:c r="C166" s="16"/>
      <x:c r="D166" s="19"/>
      <x:c r="E166" s="16"/>
      <x:c r="F166" s="32" t="str">
        <x:f>IF(A166="","",IF(OR(B166="",C166="",NOT(ISNUMBER(D166))),"Review allocation",IF(COUNTIF(Payments!$A$7:$A$206,B166)&lt;&gt;1,"Review allocation",IF(COUNTIFS(Payments!$A$7:$A$206,B166,Payments!$H$7:$H$206,"settled")=1,D166,IF(OR(COUNTIFS(Payments!$A$7:$A$206,B166,Payments!$H$7:$H$206,"pending")=1,COUNTIFS(Payments!$A$7:$A$206,B166,Payments!$H$7:$H$206,"failed")=1),0,"Review allocation")))))</x:f>
      </x:c>
    </x:row>
    <x:row r="167" ht="25" customHeight="1">
      <x:c r="A167" s="16"/>
      <x:c r="B167" s="16"/>
      <x:c r="C167" s="16"/>
      <x:c r="D167" s="19"/>
      <x:c r="E167" s="16"/>
      <x:c r="F167" s="32" t="str">
        <x:f>IF(A167="","",IF(OR(B167="",C167="",NOT(ISNUMBER(D167))),"Review allocation",IF(COUNTIF(Payments!$A$7:$A$206,B167)&lt;&gt;1,"Review allocation",IF(COUNTIFS(Payments!$A$7:$A$206,B167,Payments!$H$7:$H$206,"settled")=1,D167,IF(OR(COUNTIFS(Payments!$A$7:$A$206,B167,Payments!$H$7:$H$206,"pending")=1,COUNTIFS(Payments!$A$7:$A$206,B167,Payments!$H$7:$H$206,"failed")=1),0,"Review allocation")))))</x:f>
      </x:c>
    </x:row>
    <x:row r="168" ht="25" customHeight="1">
      <x:c r="A168" s="16"/>
      <x:c r="B168" s="16"/>
      <x:c r="C168" s="16"/>
      <x:c r="D168" s="19"/>
      <x:c r="E168" s="16"/>
      <x:c r="F168" s="32" t="str">
        <x:f>IF(A168="","",IF(OR(B168="",C168="",NOT(ISNUMBER(D168))),"Review allocation",IF(COUNTIF(Payments!$A$7:$A$206,B168)&lt;&gt;1,"Review allocation",IF(COUNTIFS(Payments!$A$7:$A$206,B168,Payments!$H$7:$H$206,"settled")=1,D168,IF(OR(COUNTIFS(Payments!$A$7:$A$206,B168,Payments!$H$7:$H$206,"pending")=1,COUNTIFS(Payments!$A$7:$A$206,B168,Payments!$H$7:$H$206,"failed")=1),0,"Review allocation")))))</x:f>
      </x:c>
    </x:row>
    <x:row r="169" ht="25" customHeight="1">
      <x:c r="A169" s="16"/>
      <x:c r="B169" s="16"/>
      <x:c r="C169" s="16"/>
      <x:c r="D169" s="19"/>
      <x:c r="E169" s="16"/>
      <x:c r="F169" s="32" t="str">
        <x:f>IF(A169="","",IF(OR(B169="",C169="",NOT(ISNUMBER(D169))),"Review allocation",IF(COUNTIF(Payments!$A$7:$A$206,B169)&lt;&gt;1,"Review allocation",IF(COUNTIFS(Payments!$A$7:$A$206,B169,Payments!$H$7:$H$206,"settled")=1,D169,IF(OR(COUNTIFS(Payments!$A$7:$A$206,B169,Payments!$H$7:$H$206,"pending")=1,COUNTIFS(Payments!$A$7:$A$206,B169,Payments!$H$7:$H$206,"failed")=1),0,"Review allocation")))))</x:f>
      </x:c>
    </x:row>
    <x:row r="170" ht="25" customHeight="1">
      <x:c r="A170" s="16"/>
      <x:c r="B170" s="16"/>
      <x:c r="C170" s="16"/>
      <x:c r="D170" s="19"/>
      <x:c r="E170" s="16"/>
      <x:c r="F170" s="32" t="str">
        <x:f>IF(A170="","",IF(OR(B170="",C170="",NOT(ISNUMBER(D170))),"Review allocation",IF(COUNTIF(Payments!$A$7:$A$206,B170)&lt;&gt;1,"Review allocation",IF(COUNTIFS(Payments!$A$7:$A$206,B170,Payments!$H$7:$H$206,"settled")=1,D170,IF(OR(COUNTIFS(Payments!$A$7:$A$206,B170,Payments!$H$7:$H$206,"pending")=1,COUNTIFS(Payments!$A$7:$A$206,B170,Payments!$H$7:$H$206,"failed")=1),0,"Review allocation")))))</x:f>
      </x:c>
    </x:row>
    <x:row r="171" ht="25" customHeight="1">
      <x:c r="A171" s="16"/>
      <x:c r="B171" s="16"/>
      <x:c r="C171" s="16"/>
      <x:c r="D171" s="19"/>
      <x:c r="E171" s="16"/>
      <x:c r="F171" s="32" t="str">
        <x:f>IF(A171="","",IF(OR(B171="",C171="",NOT(ISNUMBER(D171))),"Review allocation",IF(COUNTIF(Payments!$A$7:$A$206,B171)&lt;&gt;1,"Review allocation",IF(COUNTIFS(Payments!$A$7:$A$206,B171,Payments!$H$7:$H$206,"settled")=1,D171,IF(OR(COUNTIFS(Payments!$A$7:$A$206,B171,Payments!$H$7:$H$206,"pending")=1,COUNTIFS(Payments!$A$7:$A$206,B171,Payments!$H$7:$H$206,"failed")=1),0,"Review allocation")))))</x:f>
      </x:c>
    </x:row>
    <x:row r="172" ht="25" customHeight="1">
      <x:c r="A172" s="16"/>
      <x:c r="B172" s="16"/>
      <x:c r="C172" s="16"/>
      <x:c r="D172" s="19"/>
      <x:c r="E172" s="16"/>
      <x:c r="F172" s="32" t="str">
        <x:f>IF(A172="","",IF(OR(B172="",C172="",NOT(ISNUMBER(D172))),"Review allocation",IF(COUNTIF(Payments!$A$7:$A$206,B172)&lt;&gt;1,"Review allocation",IF(COUNTIFS(Payments!$A$7:$A$206,B172,Payments!$H$7:$H$206,"settled")=1,D172,IF(OR(COUNTIFS(Payments!$A$7:$A$206,B172,Payments!$H$7:$H$206,"pending")=1,COUNTIFS(Payments!$A$7:$A$206,B172,Payments!$H$7:$H$206,"failed")=1),0,"Review allocation")))))</x:f>
      </x:c>
    </x:row>
    <x:row r="173" ht="25" customHeight="1">
      <x:c r="A173" s="16"/>
      <x:c r="B173" s="16"/>
      <x:c r="C173" s="16"/>
      <x:c r="D173" s="19"/>
      <x:c r="E173" s="16"/>
      <x:c r="F173" s="32" t="str">
        <x:f>IF(A173="","",IF(OR(B173="",C173="",NOT(ISNUMBER(D173))),"Review allocation",IF(COUNTIF(Payments!$A$7:$A$206,B173)&lt;&gt;1,"Review allocation",IF(COUNTIFS(Payments!$A$7:$A$206,B173,Payments!$H$7:$H$206,"settled")=1,D173,IF(OR(COUNTIFS(Payments!$A$7:$A$206,B173,Payments!$H$7:$H$206,"pending")=1,COUNTIFS(Payments!$A$7:$A$206,B173,Payments!$H$7:$H$206,"failed")=1),0,"Review allocation")))))</x:f>
      </x:c>
    </x:row>
    <x:row r="174" ht="25" customHeight="1">
      <x:c r="A174" s="16"/>
      <x:c r="B174" s="16"/>
      <x:c r="C174" s="16"/>
      <x:c r="D174" s="19"/>
      <x:c r="E174" s="16"/>
      <x:c r="F174" s="32" t="str">
        <x:f>IF(A174="","",IF(OR(B174="",C174="",NOT(ISNUMBER(D174))),"Review allocation",IF(COUNTIF(Payments!$A$7:$A$206,B174)&lt;&gt;1,"Review allocation",IF(COUNTIFS(Payments!$A$7:$A$206,B174,Payments!$H$7:$H$206,"settled")=1,D174,IF(OR(COUNTIFS(Payments!$A$7:$A$206,B174,Payments!$H$7:$H$206,"pending")=1,COUNTIFS(Payments!$A$7:$A$206,B174,Payments!$H$7:$H$206,"failed")=1),0,"Review allocation")))))</x:f>
      </x:c>
    </x:row>
    <x:row r="175" ht="25" customHeight="1">
      <x:c r="A175" s="16"/>
      <x:c r="B175" s="16"/>
      <x:c r="C175" s="16"/>
      <x:c r="D175" s="19"/>
      <x:c r="E175" s="16"/>
      <x:c r="F175" s="32" t="str">
        <x:f>IF(A175="","",IF(OR(B175="",C175="",NOT(ISNUMBER(D175))),"Review allocation",IF(COUNTIF(Payments!$A$7:$A$206,B175)&lt;&gt;1,"Review allocation",IF(COUNTIFS(Payments!$A$7:$A$206,B175,Payments!$H$7:$H$206,"settled")=1,D175,IF(OR(COUNTIFS(Payments!$A$7:$A$206,B175,Payments!$H$7:$H$206,"pending")=1,COUNTIFS(Payments!$A$7:$A$206,B175,Payments!$H$7:$H$206,"failed")=1),0,"Review allocation")))))</x:f>
      </x:c>
    </x:row>
    <x:row r="176" ht="25" customHeight="1">
      <x:c r="A176" s="16"/>
      <x:c r="B176" s="16"/>
      <x:c r="C176" s="16"/>
      <x:c r="D176" s="19"/>
      <x:c r="E176" s="16"/>
      <x:c r="F176" s="32" t="str">
        <x:f>IF(A176="","",IF(OR(B176="",C176="",NOT(ISNUMBER(D176))),"Review allocation",IF(COUNTIF(Payments!$A$7:$A$206,B176)&lt;&gt;1,"Review allocation",IF(COUNTIFS(Payments!$A$7:$A$206,B176,Payments!$H$7:$H$206,"settled")=1,D176,IF(OR(COUNTIFS(Payments!$A$7:$A$206,B176,Payments!$H$7:$H$206,"pending")=1,COUNTIFS(Payments!$A$7:$A$206,B176,Payments!$H$7:$H$206,"failed")=1),0,"Review allocation")))))</x:f>
      </x:c>
    </x:row>
    <x:row r="177" ht="25" customHeight="1">
      <x:c r="A177" s="16"/>
      <x:c r="B177" s="16"/>
      <x:c r="C177" s="16"/>
      <x:c r="D177" s="19"/>
      <x:c r="E177" s="16"/>
      <x:c r="F177" s="32" t="str">
        <x:f>IF(A177="","",IF(OR(B177="",C177="",NOT(ISNUMBER(D177))),"Review allocation",IF(COUNTIF(Payments!$A$7:$A$206,B177)&lt;&gt;1,"Review allocation",IF(COUNTIFS(Payments!$A$7:$A$206,B177,Payments!$H$7:$H$206,"settled")=1,D177,IF(OR(COUNTIFS(Payments!$A$7:$A$206,B177,Payments!$H$7:$H$206,"pending")=1,COUNTIFS(Payments!$A$7:$A$206,B177,Payments!$H$7:$H$206,"failed")=1),0,"Review allocation")))))</x:f>
      </x:c>
    </x:row>
    <x:row r="178" ht="25" customHeight="1">
      <x:c r="A178" s="16"/>
      <x:c r="B178" s="16"/>
      <x:c r="C178" s="16"/>
      <x:c r="D178" s="19"/>
      <x:c r="E178" s="16"/>
      <x:c r="F178" s="32" t="str">
        <x:f>IF(A178="","",IF(OR(B178="",C178="",NOT(ISNUMBER(D178))),"Review allocation",IF(COUNTIF(Payments!$A$7:$A$206,B178)&lt;&gt;1,"Review allocation",IF(COUNTIFS(Payments!$A$7:$A$206,B178,Payments!$H$7:$H$206,"settled")=1,D178,IF(OR(COUNTIFS(Payments!$A$7:$A$206,B178,Payments!$H$7:$H$206,"pending")=1,COUNTIFS(Payments!$A$7:$A$206,B178,Payments!$H$7:$H$206,"failed")=1),0,"Review allocation")))))</x:f>
      </x:c>
    </x:row>
    <x:row r="179" ht="25" customHeight="1">
      <x:c r="A179" s="16"/>
      <x:c r="B179" s="16"/>
      <x:c r="C179" s="16"/>
      <x:c r="D179" s="19"/>
      <x:c r="E179" s="16"/>
      <x:c r="F179" s="32" t="str">
        <x:f>IF(A179="","",IF(OR(B179="",C179="",NOT(ISNUMBER(D179))),"Review allocation",IF(COUNTIF(Payments!$A$7:$A$206,B179)&lt;&gt;1,"Review allocation",IF(COUNTIFS(Payments!$A$7:$A$206,B179,Payments!$H$7:$H$206,"settled")=1,D179,IF(OR(COUNTIFS(Payments!$A$7:$A$206,B179,Payments!$H$7:$H$206,"pending")=1,COUNTIFS(Payments!$A$7:$A$206,B179,Payments!$H$7:$H$206,"failed")=1),0,"Review allocation")))))</x:f>
      </x:c>
    </x:row>
    <x:row r="180" ht="25" customHeight="1">
      <x:c r="A180" s="16"/>
      <x:c r="B180" s="16"/>
      <x:c r="C180" s="16"/>
      <x:c r="D180" s="19"/>
      <x:c r="E180" s="16"/>
      <x:c r="F180" s="32" t="str">
        <x:f>IF(A180="","",IF(OR(B180="",C180="",NOT(ISNUMBER(D180))),"Review allocation",IF(COUNTIF(Payments!$A$7:$A$206,B180)&lt;&gt;1,"Review allocation",IF(COUNTIFS(Payments!$A$7:$A$206,B180,Payments!$H$7:$H$206,"settled")=1,D180,IF(OR(COUNTIFS(Payments!$A$7:$A$206,B180,Payments!$H$7:$H$206,"pending")=1,COUNTIFS(Payments!$A$7:$A$206,B180,Payments!$H$7:$H$206,"failed")=1),0,"Review allocation")))))</x:f>
      </x:c>
    </x:row>
    <x:row r="181" ht="25" customHeight="1">
      <x:c r="A181" s="16"/>
      <x:c r="B181" s="16"/>
      <x:c r="C181" s="16"/>
      <x:c r="D181" s="19"/>
      <x:c r="E181" s="16"/>
      <x:c r="F181" s="32" t="str">
        <x:f>IF(A181="","",IF(OR(B181="",C181="",NOT(ISNUMBER(D181))),"Review allocation",IF(COUNTIF(Payments!$A$7:$A$206,B181)&lt;&gt;1,"Review allocation",IF(COUNTIFS(Payments!$A$7:$A$206,B181,Payments!$H$7:$H$206,"settled")=1,D181,IF(OR(COUNTIFS(Payments!$A$7:$A$206,B181,Payments!$H$7:$H$206,"pending")=1,COUNTIFS(Payments!$A$7:$A$206,B181,Payments!$H$7:$H$206,"failed")=1),0,"Review allocation")))))</x:f>
      </x:c>
    </x:row>
    <x:row r="182" ht="25" customHeight="1">
      <x:c r="A182" s="16"/>
      <x:c r="B182" s="16"/>
      <x:c r="C182" s="16"/>
      <x:c r="D182" s="19"/>
      <x:c r="E182" s="16"/>
      <x:c r="F182" s="32" t="str">
        <x:f>IF(A182="","",IF(OR(B182="",C182="",NOT(ISNUMBER(D182))),"Review allocation",IF(COUNTIF(Payments!$A$7:$A$206,B182)&lt;&gt;1,"Review allocation",IF(COUNTIFS(Payments!$A$7:$A$206,B182,Payments!$H$7:$H$206,"settled")=1,D182,IF(OR(COUNTIFS(Payments!$A$7:$A$206,B182,Payments!$H$7:$H$206,"pending")=1,COUNTIFS(Payments!$A$7:$A$206,B182,Payments!$H$7:$H$206,"failed")=1),0,"Review allocation")))))</x:f>
      </x:c>
    </x:row>
    <x:row r="183" ht="25" customHeight="1">
      <x:c r="A183" s="16"/>
      <x:c r="B183" s="16"/>
      <x:c r="C183" s="16"/>
      <x:c r="D183" s="19"/>
      <x:c r="E183" s="16"/>
      <x:c r="F183" s="32" t="str">
        <x:f>IF(A183="","",IF(OR(B183="",C183="",NOT(ISNUMBER(D183))),"Review allocation",IF(COUNTIF(Payments!$A$7:$A$206,B183)&lt;&gt;1,"Review allocation",IF(COUNTIFS(Payments!$A$7:$A$206,B183,Payments!$H$7:$H$206,"settled")=1,D183,IF(OR(COUNTIFS(Payments!$A$7:$A$206,B183,Payments!$H$7:$H$206,"pending")=1,COUNTIFS(Payments!$A$7:$A$206,B183,Payments!$H$7:$H$206,"failed")=1),0,"Review allocation")))))</x:f>
      </x:c>
    </x:row>
    <x:row r="184" ht="25" customHeight="1">
      <x:c r="A184" s="16"/>
      <x:c r="B184" s="16"/>
      <x:c r="C184" s="16"/>
      <x:c r="D184" s="19"/>
      <x:c r="E184" s="16"/>
      <x:c r="F184" s="32" t="str">
        <x:f>IF(A184="","",IF(OR(B184="",C184="",NOT(ISNUMBER(D184))),"Review allocation",IF(COUNTIF(Payments!$A$7:$A$206,B184)&lt;&gt;1,"Review allocation",IF(COUNTIFS(Payments!$A$7:$A$206,B184,Payments!$H$7:$H$206,"settled")=1,D184,IF(OR(COUNTIFS(Payments!$A$7:$A$206,B184,Payments!$H$7:$H$206,"pending")=1,COUNTIFS(Payments!$A$7:$A$206,B184,Payments!$H$7:$H$206,"failed")=1),0,"Review allocation")))))</x:f>
      </x:c>
    </x:row>
    <x:row r="185" ht="25" customHeight="1">
      <x:c r="A185" s="16"/>
      <x:c r="B185" s="16"/>
      <x:c r="C185" s="16"/>
      <x:c r="D185" s="19"/>
      <x:c r="E185" s="16"/>
      <x:c r="F185" s="32" t="str">
        <x:f>IF(A185="","",IF(OR(B185="",C185="",NOT(ISNUMBER(D185))),"Review allocation",IF(COUNTIF(Payments!$A$7:$A$206,B185)&lt;&gt;1,"Review allocation",IF(COUNTIFS(Payments!$A$7:$A$206,B185,Payments!$H$7:$H$206,"settled")=1,D185,IF(OR(COUNTIFS(Payments!$A$7:$A$206,B185,Payments!$H$7:$H$206,"pending")=1,COUNTIFS(Payments!$A$7:$A$206,B185,Payments!$H$7:$H$206,"failed")=1),0,"Review allocation")))))</x:f>
      </x:c>
    </x:row>
    <x:row r="186" ht="25" customHeight="1">
      <x:c r="A186" s="16"/>
      <x:c r="B186" s="16"/>
      <x:c r="C186" s="16"/>
      <x:c r="D186" s="19"/>
      <x:c r="E186" s="16"/>
      <x:c r="F186" s="32" t="str">
        <x:f>IF(A186="","",IF(OR(B186="",C186="",NOT(ISNUMBER(D186))),"Review allocation",IF(COUNTIF(Payments!$A$7:$A$206,B186)&lt;&gt;1,"Review allocation",IF(COUNTIFS(Payments!$A$7:$A$206,B186,Payments!$H$7:$H$206,"settled")=1,D186,IF(OR(COUNTIFS(Payments!$A$7:$A$206,B186,Payments!$H$7:$H$206,"pending")=1,COUNTIFS(Payments!$A$7:$A$206,B186,Payments!$H$7:$H$206,"failed")=1),0,"Review allocation")))))</x:f>
      </x:c>
    </x:row>
    <x:row r="187" ht="25" customHeight="1">
      <x:c r="A187" s="16"/>
      <x:c r="B187" s="16"/>
      <x:c r="C187" s="16"/>
      <x:c r="D187" s="19"/>
      <x:c r="E187" s="16"/>
      <x:c r="F187" s="32" t="str">
        <x:f>IF(A187="","",IF(OR(B187="",C187="",NOT(ISNUMBER(D187))),"Review allocation",IF(COUNTIF(Payments!$A$7:$A$206,B187)&lt;&gt;1,"Review allocation",IF(COUNTIFS(Payments!$A$7:$A$206,B187,Payments!$H$7:$H$206,"settled")=1,D187,IF(OR(COUNTIFS(Payments!$A$7:$A$206,B187,Payments!$H$7:$H$206,"pending")=1,COUNTIFS(Payments!$A$7:$A$206,B187,Payments!$H$7:$H$206,"failed")=1),0,"Review allocation")))))</x:f>
      </x:c>
    </x:row>
    <x:row r="188" ht="25" customHeight="1">
      <x:c r="A188" s="16"/>
      <x:c r="B188" s="16"/>
      <x:c r="C188" s="16"/>
      <x:c r="D188" s="19"/>
      <x:c r="E188" s="16"/>
      <x:c r="F188" s="32" t="str">
        <x:f>IF(A188="","",IF(OR(B188="",C188="",NOT(ISNUMBER(D188))),"Review allocation",IF(COUNTIF(Payments!$A$7:$A$206,B188)&lt;&gt;1,"Review allocation",IF(COUNTIFS(Payments!$A$7:$A$206,B188,Payments!$H$7:$H$206,"settled")=1,D188,IF(OR(COUNTIFS(Payments!$A$7:$A$206,B188,Payments!$H$7:$H$206,"pending")=1,COUNTIFS(Payments!$A$7:$A$206,B188,Payments!$H$7:$H$206,"failed")=1),0,"Review allocation")))))</x:f>
      </x:c>
    </x:row>
    <x:row r="189" ht="25" customHeight="1">
      <x:c r="A189" s="16"/>
      <x:c r="B189" s="16"/>
      <x:c r="C189" s="16"/>
      <x:c r="D189" s="19"/>
      <x:c r="E189" s="16"/>
      <x:c r="F189" s="32" t="str">
        <x:f>IF(A189="","",IF(OR(B189="",C189="",NOT(ISNUMBER(D189))),"Review allocation",IF(COUNTIF(Payments!$A$7:$A$206,B189)&lt;&gt;1,"Review allocation",IF(COUNTIFS(Payments!$A$7:$A$206,B189,Payments!$H$7:$H$206,"settled")=1,D189,IF(OR(COUNTIFS(Payments!$A$7:$A$206,B189,Payments!$H$7:$H$206,"pending")=1,COUNTIFS(Payments!$A$7:$A$206,B189,Payments!$H$7:$H$206,"failed")=1),0,"Review allocation")))))</x:f>
      </x:c>
    </x:row>
    <x:row r="190" ht="25" customHeight="1">
      <x:c r="A190" s="16"/>
      <x:c r="B190" s="16"/>
      <x:c r="C190" s="16"/>
      <x:c r="D190" s="19"/>
      <x:c r="E190" s="16"/>
      <x:c r="F190" s="32" t="str">
        <x:f>IF(A190="","",IF(OR(B190="",C190="",NOT(ISNUMBER(D190))),"Review allocation",IF(COUNTIF(Payments!$A$7:$A$206,B190)&lt;&gt;1,"Review allocation",IF(COUNTIFS(Payments!$A$7:$A$206,B190,Payments!$H$7:$H$206,"settled")=1,D190,IF(OR(COUNTIFS(Payments!$A$7:$A$206,B190,Payments!$H$7:$H$206,"pending")=1,COUNTIFS(Payments!$A$7:$A$206,B190,Payments!$H$7:$H$206,"failed")=1),0,"Review allocation")))))</x:f>
      </x:c>
    </x:row>
    <x:row r="191" ht="25" customHeight="1">
      <x:c r="A191" s="16"/>
      <x:c r="B191" s="16"/>
      <x:c r="C191" s="16"/>
      <x:c r="D191" s="19"/>
      <x:c r="E191" s="16"/>
      <x:c r="F191" s="32" t="str">
        <x:f>IF(A191="","",IF(OR(B191="",C191="",NOT(ISNUMBER(D191))),"Review allocation",IF(COUNTIF(Payments!$A$7:$A$206,B191)&lt;&gt;1,"Review allocation",IF(COUNTIFS(Payments!$A$7:$A$206,B191,Payments!$H$7:$H$206,"settled")=1,D191,IF(OR(COUNTIFS(Payments!$A$7:$A$206,B191,Payments!$H$7:$H$206,"pending")=1,COUNTIFS(Payments!$A$7:$A$206,B191,Payments!$H$7:$H$206,"failed")=1),0,"Review allocation")))))</x:f>
      </x:c>
    </x:row>
    <x:row r="192" ht="25" customHeight="1">
      <x:c r="A192" s="16"/>
      <x:c r="B192" s="16"/>
      <x:c r="C192" s="16"/>
      <x:c r="D192" s="19"/>
      <x:c r="E192" s="16"/>
      <x:c r="F192" s="32" t="str">
        <x:f>IF(A192="","",IF(OR(B192="",C192="",NOT(ISNUMBER(D192))),"Review allocation",IF(COUNTIF(Payments!$A$7:$A$206,B192)&lt;&gt;1,"Review allocation",IF(COUNTIFS(Payments!$A$7:$A$206,B192,Payments!$H$7:$H$206,"settled")=1,D192,IF(OR(COUNTIFS(Payments!$A$7:$A$206,B192,Payments!$H$7:$H$206,"pending")=1,COUNTIFS(Payments!$A$7:$A$206,B192,Payments!$H$7:$H$206,"failed")=1),0,"Review allocation")))))</x:f>
      </x:c>
    </x:row>
    <x:row r="193" ht="25" customHeight="1">
      <x:c r="A193" s="16"/>
      <x:c r="B193" s="16"/>
      <x:c r="C193" s="16"/>
      <x:c r="D193" s="19"/>
      <x:c r="E193" s="16"/>
      <x:c r="F193" s="32" t="str">
        <x:f>IF(A193="","",IF(OR(B193="",C193="",NOT(ISNUMBER(D193))),"Review allocation",IF(COUNTIF(Payments!$A$7:$A$206,B193)&lt;&gt;1,"Review allocation",IF(COUNTIFS(Payments!$A$7:$A$206,B193,Payments!$H$7:$H$206,"settled")=1,D193,IF(OR(COUNTIFS(Payments!$A$7:$A$206,B193,Payments!$H$7:$H$206,"pending")=1,COUNTIFS(Payments!$A$7:$A$206,B193,Payments!$H$7:$H$206,"failed")=1),0,"Review allocation")))))</x:f>
      </x:c>
    </x:row>
    <x:row r="194" ht="25" customHeight="1">
      <x:c r="A194" s="16"/>
      <x:c r="B194" s="16"/>
      <x:c r="C194" s="16"/>
      <x:c r="D194" s="19"/>
      <x:c r="E194" s="16"/>
      <x:c r="F194" s="32" t="str">
        <x:f>IF(A194="","",IF(OR(B194="",C194="",NOT(ISNUMBER(D194))),"Review allocation",IF(COUNTIF(Payments!$A$7:$A$206,B194)&lt;&gt;1,"Review allocation",IF(COUNTIFS(Payments!$A$7:$A$206,B194,Payments!$H$7:$H$206,"settled")=1,D194,IF(OR(COUNTIFS(Payments!$A$7:$A$206,B194,Payments!$H$7:$H$206,"pending")=1,COUNTIFS(Payments!$A$7:$A$206,B194,Payments!$H$7:$H$206,"failed")=1),0,"Review allocation")))))</x:f>
      </x:c>
    </x:row>
    <x:row r="195" ht="25" customHeight="1">
      <x:c r="A195" s="16"/>
      <x:c r="B195" s="16"/>
      <x:c r="C195" s="16"/>
      <x:c r="D195" s="19"/>
      <x:c r="E195" s="16"/>
      <x:c r="F195" s="32" t="str">
        <x:f>IF(A195="","",IF(OR(B195="",C195="",NOT(ISNUMBER(D195))),"Review allocation",IF(COUNTIF(Payments!$A$7:$A$206,B195)&lt;&gt;1,"Review allocation",IF(COUNTIFS(Payments!$A$7:$A$206,B195,Payments!$H$7:$H$206,"settled")=1,D195,IF(OR(COUNTIFS(Payments!$A$7:$A$206,B195,Payments!$H$7:$H$206,"pending")=1,COUNTIFS(Payments!$A$7:$A$206,B195,Payments!$H$7:$H$206,"failed")=1),0,"Review allocation")))))</x:f>
      </x:c>
    </x:row>
    <x:row r="196" ht="25" customHeight="1">
      <x:c r="A196" s="16"/>
      <x:c r="B196" s="16"/>
      <x:c r="C196" s="16"/>
      <x:c r="D196" s="19"/>
      <x:c r="E196" s="16"/>
      <x:c r="F196" s="32" t="str">
        <x:f>IF(A196="","",IF(OR(B196="",C196="",NOT(ISNUMBER(D196))),"Review allocation",IF(COUNTIF(Payments!$A$7:$A$206,B196)&lt;&gt;1,"Review allocation",IF(COUNTIFS(Payments!$A$7:$A$206,B196,Payments!$H$7:$H$206,"settled")=1,D196,IF(OR(COUNTIFS(Payments!$A$7:$A$206,B196,Payments!$H$7:$H$206,"pending")=1,COUNTIFS(Payments!$A$7:$A$206,B196,Payments!$H$7:$H$206,"failed")=1),0,"Review allocation")))))</x:f>
      </x:c>
    </x:row>
    <x:row r="197" ht="25" customHeight="1">
      <x:c r="A197" s="16"/>
      <x:c r="B197" s="16"/>
      <x:c r="C197" s="16"/>
      <x:c r="D197" s="19"/>
      <x:c r="E197" s="16"/>
      <x:c r="F197" s="32" t="str">
        <x:f>IF(A197="","",IF(OR(B197="",C197="",NOT(ISNUMBER(D197))),"Review allocation",IF(COUNTIF(Payments!$A$7:$A$206,B197)&lt;&gt;1,"Review allocation",IF(COUNTIFS(Payments!$A$7:$A$206,B197,Payments!$H$7:$H$206,"settled")=1,D197,IF(OR(COUNTIFS(Payments!$A$7:$A$206,B197,Payments!$H$7:$H$206,"pending")=1,COUNTIFS(Payments!$A$7:$A$206,B197,Payments!$H$7:$H$206,"failed")=1),0,"Review allocation")))))</x:f>
      </x:c>
    </x:row>
    <x:row r="198" ht="25" customHeight="1">
      <x:c r="A198" s="16"/>
      <x:c r="B198" s="16"/>
      <x:c r="C198" s="16"/>
      <x:c r="D198" s="19"/>
      <x:c r="E198" s="16"/>
      <x:c r="F198" s="32" t="str">
        <x:f>IF(A198="","",IF(OR(B198="",C198="",NOT(ISNUMBER(D198))),"Review allocation",IF(COUNTIF(Payments!$A$7:$A$206,B198)&lt;&gt;1,"Review allocation",IF(COUNTIFS(Payments!$A$7:$A$206,B198,Payments!$H$7:$H$206,"settled")=1,D198,IF(OR(COUNTIFS(Payments!$A$7:$A$206,B198,Payments!$H$7:$H$206,"pending")=1,COUNTIFS(Payments!$A$7:$A$206,B198,Payments!$H$7:$H$206,"failed")=1),0,"Review allocation")))))</x:f>
      </x:c>
    </x:row>
    <x:row r="199" ht="25" customHeight="1">
      <x:c r="A199" s="16"/>
      <x:c r="B199" s="16"/>
      <x:c r="C199" s="16"/>
      <x:c r="D199" s="19"/>
      <x:c r="E199" s="16"/>
      <x:c r="F199" s="32" t="str">
        <x:f>IF(A199="","",IF(OR(B199="",C199="",NOT(ISNUMBER(D199))),"Review allocation",IF(COUNTIF(Payments!$A$7:$A$206,B199)&lt;&gt;1,"Review allocation",IF(COUNTIFS(Payments!$A$7:$A$206,B199,Payments!$H$7:$H$206,"settled")=1,D199,IF(OR(COUNTIFS(Payments!$A$7:$A$206,B199,Payments!$H$7:$H$206,"pending")=1,COUNTIFS(Payments!$A$7:$A$206,B199,Payments!$H$7:$H$206,"failed")=1),0,"Review allocation")))))</x:f>
      </x:c>
    </x:row>
    <x:row r="200" ht="25" customHeight="1">
      <x:c r="A200" s="16"/>
      <x:c r="B200" s="16"/>
      <x:c r="C200" s="16"/>
      <x:c r="D200" s="19"/>
      <x:c r="E200" s="16"/>
      <x:c r="F200" s="32" t="str">
        <x:f>IF(A200="","",IF(OR(B200="",C200="",NOT(ISNUMBER(D200))),"Review allocation",IF(COUNTIF(Payments!$A$7:$A$206,B200)&lt;&gt;1,"Review allocation",IF(COUNTIFS(Payments!$A$7:$A$206,B200,Payments!$H$7:$H$206,"settled")=1,D200,IF(OR(COUNTIFS(Payments!$A$7:$A$206,B200,Payments!$H$7:$H$206,"pending")=1,COUNTIFS(Payments!$A$7:$A$206,B200,Payments!$H$7:$H$206,"failed")=1),0,"Review allocation")))))</x:f>
      </x:c>
    </x:row>
    <x:row r="201" ht="25" customHeight="1">
      <x:c r="A201" s="16"/>
      <x:c r="B201" s="16"/>
      <x:c r="C201" s="16"/>
      <x:c r="D201" s="19"/>
      <x:c r="E201" s="16"/>
      <x:c r="F201" s="32" t="str">
        <x:f>IF(A201="","",IF(OR(B201="",C201="",NOT(ISNUMBER(D201))),"Review allocation",IF(COUNTIF(Payments!$A$7:$A$206,B201)&lt;&gt;1,"Review allocation",IF(COUNTIFS(Payments!$A$7:$A$206,B201,Payments!$H$7:$H$206,"settled")=1,D201,IF(OR(COUNTIFS(Payments!$A$7:$A$206,B201,Payments!$H$7:$H$206,"pending")=1,COUNTIFS(Payments!$A$7:$A$206,B201,Payments!$H$7:$H$206,"failed")=1),0,"Review allocation")))))</x:f>
      </x:c>
    </x:row>
    <x:row r="202" ht="25" customHeight="1">
      <x:c r="A202" s="16"/>
      <x:c r="B202" s="16"/>
      <x:c r="C202" s="16"/>
      <x:c r="D202" s="19"/>
      <x:c r="E202" s="16"/>
      <x:c r="F202" s="32" t="str">
        <x:f>IF(A202="","",IF(OR(B202="",C202="",NOT(ISNUMBER(D202))),"Review allocation",IF(COUNTIF(Payments!$A$7:$A$206,B202)&lt;&gt;1,"Review allocation",IF(COUNTIFS(Payments!$A$7:$A$206,B202,Payments!$H$7:$H$206,"settled")=1,D202,IF(OR(COUNTIFS(Payments!$A$7:$A$206,B202,Payments!$H$7:$H$206,"pending")=1,COUNTIFS(Payments!$A$7:$A$206,B202,Payments!$H$7:$H$206,"failed")=1),0,"Review allocation")))))</x:f>
      </x:c>
    </x:row>
    <x:row r="203" ht="25" customHeight="1">
      <x:c r="A203" s="16"/>
      <x:c r="B203" s="16"/>
      <x:c r="C203" s="16"/>
      <x:c r="D203" s="19"/>
      <x:c r="E203" s="16"/>
      <x:c r="F203" s="32" t="str">
        <x:f>IF(A203="","",IF(OR(B203="",C203="",NOT(ISNUMBER(D203))),"Review allocation",IF(COUNTIF(Payments!$A$7:$A$206,B203)&lt;&gt;1,"Review allocation",IF(COUNTIFS(Payments!$A$7:$A$206,B203,Payments!$H$7:$H$206,"settled")=1,D203,IF(OR(COUNTIFS(Payments!$A$7:$A$206,B203,Payments!$H$7:$H$206,"pending")=1,COUNTIFS(Payments!$A$7:$A$206,B203,Payments!$H$7:$H$206,"failed")=1),0,"Review allocation")))))</x:f>
      </x:c>
    </x:row>
    <x:row r="204" ht="25" customHeight="1">
      <x:c r="A204" s="16"/>
      <x:c r="B204" s="16"/>
      <x:c r="C204" s="16"/>
      <x:c r="D204" s="19"/>
      <x:c r="E204" s="16"/>
      <x:c r="F204" s="32" t="str">
        <x:f>IF(A204="","",IF(OR(B204="",C204="",NOT(ISNUMBER(D204))),"Review allocation",IF(COUNTIF(Payments!$A$7:$A$206,B204)&lt;&gt;1,"Review allocation",IF(COUNTIFS(Payments!$A$7:$A$206,B204,Payments!$H$7:$H$206,"settled")=1,D204,IF(OR(COUNTIFS(Payments!$A$7:$A$206,B204,Payments!$H$7:$H$206,"pending")=1,COUNTIFS(Payments!$A$7:$A$206,B204,Payments!$H$7:$H$206,"failed")=1),0,"Review allocation")))))</x:f>
      </x:c>
    </x:row>
    <x:row r="205" ht="25" customHeight="1">
      <x:c r="A205" s="16"/>
      <x:c r="B205" s="16"/>
      <x:c r="C205" s="16"/>
      <x:c r="D205" s="19"/>
      <x:c r="E205" s="16"/>
      <x:c r="F205" s="32" t="str">
        <x:f>IF(A205="","",IF(OR(B205="",C205="",NOT(ISNUMBER(D205))),"Review allocation",IF(COUNTIF(Payments!$A$7:$A$206,B205)&lt;&gt;1,"Review allocation",IF(COUNTIFS(Payments!$A$7:$A$206,B205,Payments!$H$7:$H$206,"settled")=1,D205,IF(OR(COUNTIFS(Payments!$A$7:$A$206,B205,Payments!$H$7:$H$206,"pending")=1,COUNTIFS(Payments!$A$7:$A$206,B205,Payments!$H$7:$H$206,"failed")=1),0,"Review allocation")))))</x:f>
      </x:c>
    </x:row>
    <x:row r="206" ht="25" customHeight="1">
      <x:c r="A206" s="20"/>
      <x:c r="B206" s="20"/>
      <x:c r="C206" s="20"/>
      <x:c r="D206" s="23"/>
      <x:c r="E206" s="20"/>
      <x:c r="F206" s="33" t="str">
        <x:f>IF(A206="","",IF(OR(B206="",C206="",NOT(ISNUMBER(D206))),"Review allocation",IF(COUNTIF(Payments!$A$7:$A$206,B206)&lt;&gt;1,"Review allocation",IF(COUNTIFS(Payments!$A$7:$A$206,B206,Payments!$H$7:$H$206,"settled")=1,D206,IF(OR(COUNTIFS(Payments!$A$7:$A$206,B206,Payments!$H$7:$H$206,"pending")=1,COUNTIFS(Payments!$A$7:$A$206,B206,Payments!$H$7:$H$206,"failed")=1),0,"Review allocation")))))</x:f>
      </x:c>
    </x:row>
  </x:sheetData>
  <x:dataValidations count="1">
    <x:dataValidation type="decimal" operator="greaterThanOrEqual" sqref="D7:D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d9376767604b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Student charges and payments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Itemized academic, tuition, bus, hostel and other dues, scholarships and received payments.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Charges has one row per student fee head and installment. Record academic, tuition, bus, hostel and other charges as separate rows.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Base amount is before reductions. Scholarship, discount, fine and tax are separate monetary amounts; blank optional amounts mean zero.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Calculated columns show gross charge before scholarship, net payable after scholarship, settled amount allocated and outstanding balance.</x:v>
      </x:c>
      <x:c r="C13" s="2"/>
      <x:c r="D13" s="2"/>
      <x:c r="E13" s="2"/>
      <x:c r="F13" s="2"/>
      <x:c r="G13" s="2"/>
    </x:row>
    <x:row r="14" ht="27" customHeight="1">
      <x:c r="A14" s="35" t="str">
        <x:v>Specific instruction 4</x:v>
      </x:c>
      <x:c r="B14" s="2" t="str">
        <x:v>Only approved awards may reduce a charge. Use the Award code, not the scheme code, to link each scholarship application.</x:v>
      </x:c>
      <x:c r="C14" s="2"/>
      <x:c r="D14" s="2"/>
      <x:c r="E14" s="2"/>
      <x:c r="F14" s="2"/>
      <x:c r="G14" s="2"/>
    </x:row>
    <x:row r="15" ht="27" customHeight="1">
      <x:c r="A15" s="35" t="str">
        <x:v>Specific instruction 5</x:v>
      </x:c>
      <x:c r="B15" s="2" t="str">
        <x:v>Record one row per received payment in Payments. Split a payment across fee heads using Allocations; never repeat the entire payment for each head.</x:v>
      </x:c>
      <x:c r="C15" s="2"/>
      <x:c r="D15" s="2"/>
      <x:c r="E15" s="2"/>
      <x:c r="F15" s="2"/>
      <x:c r="G15" s="2"/>
    </x:row>
    <x:row r="16" ht="27" customHeight="1">
      <x:c r="A16" s="35" t="str">
        <x:v>Specific instruction 6</x:v>
      </x:c>
      <x:c r="B16" s="2" t="str">
        <x:v>Only allocations linked to settled payments count toward paid totals. A pending or failed payment does not reduce outstanding dues.</x:v>
      </x:c>
      <x:c r="C16" s="2"/>
      <x:c r="D16" s="2"/>
      <x:c r="E16" s="2"/>
      <x:c r="F16" s="2"/>
      <x:c r="G16" s="2"/>
    </x:row>
    <x:row r="17" ht="27" customHeight="1">
      <x:c r="A17" s="35" t="str">
        <x:v>Specific instruction 7</x:v>
      </x:c>
      <x:c r="B17" s="2" t="str">
        <x:v>Historical receipts require both the payment and its allocations. Zero balances must reconcile with the college accounts records.</x:v>
      </x:c>
      <x:c r="C17" s="2"/>
      <x:c r="D17" s="2"/>
      <x:c r="E17" s="2"/>
      <x:c r="F17" s="2"/>
      <x:c r="G17" s="2"/>
    </x:row>
    <x:row r="18" ht="27" customHeight="1">
      <x:c r="A18" s="35" t="str">
        <x:v>Examples</x:v>
      </x:c>
      <x:c r="B18" s="2" t="str">
        <x:v>The fictional examples below explain fields only. All data-entry tabs are blank.</x:v>
      </x:c>
      <x:c r="C18" s="2"/>
      <x:c r="D18" s="2"/>
      <x:c r="E18" s="2"/>
      <x:c r="F18" s="2"/>
      <x:c r="G18" s="2"/>
    </x:row>
    <x:row r="19" ht="27" customHeight="1">
      <x:c r="A19" s="35" t="str">
        <x:v>Import</x:v>
      </x:c>
      <x:c r="B19" s="2" t="str">
        <x:v>Collection templates for the future Python service. Validation and reviewed import must be implemented before production use.</x:v>
      </x:c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 ht="46" customHeight="1">
      <x:c r="A22" s="28" t="str">
        <x:v>Data tab</x:v>
      </x:c>
      <x:c r="B22" s="29" t="str">
        <x:v>Field</x:v>
      </x:c>
      <x:c r="C22" s="29" t="str">
        <x:v>Requirement</x:v>
      </x:c>
      <x:c r="D22" s="29" t="str">
        <x:v>Format</x:v>
      </x:c>
      <x:c r="E22" s="29" t="str">
        <x:v>Definition or entry rule</x:v>
      </x:c>
      <x:c r="F22" s="29" t="str">
        <x:v>Fictional example</x:v>
      </x:c>
      <x:c r="G22" s="30" t="str">
        <x:v>Allowed choices or reference</x:v>
      </x:c>
    </x:row>
    <x:row r="23" ht="60" customHeight="1">
      <x:c r="A23" s="36" t="str">
        <x:v>Charges</x:v>
      </x:c>
      <x:c r="B23" s="36" t="str">
        <x:v>Charge code *</x:v>
      </x:c>
      <x:c r="C23" s="36" t="str">
        <x:v>Required</x:v>
      </x:c>
      <x:c r="D23" s="36" t="str">
        <x:v>code</x:v>
      </x:c>
      <x:c r="E23" s="36" t="str">
        <x:v>Unique charge reference used by payment allocations.</x:v>
      </x:c>
      <x:c r="F23" s="36" t="str">
        <x:v>CHG-0001</x:v>
      </x:c>
      <x:c r="G23" s="36" t="str"/>
    </x:row>
    <x:row r="24" ht="60" customHeight="1">
      <x:c r="A24" s="36" t="str">
        <x:v>Charges</x:v>
      </x:c>
      <x:c r="B24" s="36" t="str">
        <x:v>Student code *</x:v>
      </x:c>
      <x:c r="C24" s="36" t="str">
        <x:v>Required</x:v>
      </x:c>
      <x:c r="D24" s="36" t="str">
        <x:v>code</x:v>
      </x:c>
      <x:c r="E24" s="36" t="str">
        <x:v>Student who owes the charge.</x:v>
      </x:c>
      <x:c r="F24" s="36" t="str">
        <x:v>STU-0001</x:v>
      </x:c>
      <x:c r="G24" s="36" t="str">
        <x:v>Students.student_code</x:v>
      </x:c>
    </x:row>
    <x:row r="25" ht="60" customHeight="1">
      <x:c r="A25" s="36" t="str">
        <x:v>Charges</x:v>
      </x:c>
      <x:c r="B25" s="36" t="str">
        <x:v>Fee structure line code *</x:v>
      </x:c>
      <x:c r="C25" s="36" t="str">
        <x:v>Required</x:v>
      </x:c>
      <x:c r="D25" s="36" t="str">
        <x:v>code</x:v>
      </x:c>
      <x:c r="E25" s="36" t="str">
        <x:v>Approved standard rate line for this charge.</x:v>
      </x:c>
      <x:c r="F25" s="36" t="str">
        <x:v>FEE-BCA-26-TUI-01</x:v>
      </x:c>
      <x:c r="G25" s="36" t="str">
        <x:v>Fee Structure Lines.fee_structure_line_code</x:v>
      </x:c>
    </x:row>
    <x:row r="26" ht="60" customHeight="1">
      <x:c r="A26" s="36" t="str">
        <x:v>Charges</x:v>
      </x:c>
      <x:c r="B26" s="36" t="str">
        <x:v>Fee head code *</x:v>
      </x:c>
      <x:c r="C26" s="36" t="str">
        <x:v>Required</x:v>
      </x:c>
      <x:c r="D26" s="36" t="str">
        <x:v>code</x:v>
      </x:c>
      <x:c r="E26" s="36" t="str">
        <x:v>Must match the head in the referenced structure line.</x:v>
      </x:c>
      <x:c r="F26" s="36" t="str">
        <x:v>TUITION</x:v>
      </x:c>
      <x:c r="G26" s="36" t="str">
        <x:v>Fee Heads.fee_head_code</x:v>
      </x:c>
    </x:row>
    <x:row r="27" ht="60" customHeight="1">
      <x:c r="A27" s="36" t="str">
        <x:v>Charges</x:v>
      </x:c>
      <x:c r="B27" s="36" t="str">
        <x:v>Academic year *</x:v>
      </x:c>
      <x:c r="C27" s="36" t="str">
        <x:v>Required</x:v>
      </x:c>
      <x:c r="D27" s="36" t="str">
        <x:v>code</x:v>
      </x:c>
      <x:c r="E27" s="36" t="str">
        <x:v>Academic year this charge relates to.</x:v>
      </x:c>
      <x:c r="F27" s="36" t="str">
        <x:v>2026-2027</x:v>
      </x:c>
      <x:c r="G27" s="36" t="str"/>
    </x:row>
    <x:row r="28" ht="60" customHeight="1">
      <x:c r="A28" s="36" t="str">
        <x:v>Charges</x:v>
      </x:c>
      <x:c r="B28" s="36" t="str">
        <x:v>Installment number *</x:v>
      </x:c>
      <x:c r="C28" s="36" t="str">
        <x:v>Required</x:v>
      </x:c>
      <x:c r="D28" s="36" t="str">
        <x:v>positive_int</x:v>
      </x:c>
      <x:c r="E28" s="36" t="str">
        <x:v>Must match the referenced rate installment.</x:v>
      </x:c>
      <x:c r="F28" s="36" t="str">
        <x:v>1</x:v>
      </x:c>
      <x:c r="G28" s="36" t="str"/>
    </x:row>
    <x:row r="29" ht="60" customHeight="1">
      <x:c r="A29" s="36" t="str">
        <x:v>Charges</x:v>
      </x:c>
      <x:c r="B29" s="36" t="str">
        <x:v>Due date *</x:v>
      </x:c>
      <x:c r="C29" s="36" t="str">
        <x:v>Required</x:v>
      </x:c>
      <x:c r="D29" s="36" t="str">
        <x:v>YYYY-MM-DD</x:v>
      </x:c>
      <x:c r="E29" s="36" t="str">
        <x:v>Last payment date for this charge.</x:v>
      </x:c>
      <x:c r="F29" s="36" t="str">
        <x:v>2026-07-15</x:v>
      </x:c>
      <x:c r="G29" s="36" t="str"/>
    </x:row>
    <x:row r="30" ht="60" customHeight="1">
      <x:c r="A30" s="36" t="str">
        <x:v>Charges</x:v>
      </x:c>
      <x:c r="B30" s="36" t="str">
        <x:v>Base amount *</x:v>
      </x:c>
      <x:c r="C30" s="36" t="str">
        <x:v>Required</x:v>
      </x:c>
      <x:c r="D30" s="36" t="str">
        <x:v>money</x:v>
      </x:c>
      <x:c r="E30" s="36" t="str">
        <x:v>Authorized charge before discounts, scholarship, fine and tax.</x:v>
      </x:c>
      <x:c r="F30" s="36" t="str">
        <x:v>25000.00</x:v>
      </x:c>
      <x:c r="G30" s="36" t="str"/>
    </x:row>
    <x:row r="31" ht="60" customHeight="1">
      <x:c r="A31" s="36" t="str">
        <x:v>Charges</x:v>
      </x:c>
      <x:c r="B31" s="36" t="str">
        <x:v>Discount or waiver</x:v>
      </x:c>
      <x:c r="C31" s="36" t="str">
        <x:v>Optional</x:v>
      </x:c>
      <x:c r="D31" s="36" t="str">
        <x:v>money</x:v>
      </x:c>
      <x:c r="E31" s="36" t="str">
        <x:v>Approved non-scholarship reduction; blank means zero.</x:v>
      </x:c>
      <x:c r="F31" s="36" t="str">
        <x:v>1000.00</x:v>
      </x:c>
      <x:c r="G31" s="36" t="str"/>
    </x:row>
    <x:row r="32" ht="60" customHeight="1">
      <x:c r="A32" s="36" t="str">
        <x:v>Charges</x:v>
      </x:c>
      <x:c r="B32" s="36" t="str">
        <x:v>Scholarship award code</x:v>
      </x:c>
      <x:c r="C32" s="36" t="str">
        <x:v>Optional</x:v>
      </x:c>
      <x:c r="D32" s="36" t="str">
        <x:v>code</x:v>
      </x:c>
      <x:c r="E32" s="36" t="str">
        <x:v>Required when Scholarship applied is greater than zero.</x:v>
      </x:c>
      <x:c r="F32" s="36" t="str">
        <x:v>AWD-0001</x:v>
      </x:c>
      <x:c r="G32" s="36" t="str">
        <x:v>Student Scholarships.award_code</x:v>
      </x:c>
    </x:row>
    <x:row r="33" ht="60" customHeight="1">
      <x:c r="A33" s="36" t="str">
        <x:v>Charges</x:v>
      </x:c>
      <x:c r="B33" s="36" t="str">
        <x:v>Scholarship applied</x:v>
      </x:c>
      <x:c r="C33" s="36" t="str">
        <x:v>Optional</x:v>
      </x:c>
      <x:c r="D33" s="36" t="str">
        <x:v>money</x:v>
      </x:c>
      <x:c r="E33" s="36" t="str">
        <x:v>Monetary portion of an approved award assigned to this charge.</x:v>
      </x:c>
      <x:c r="F33" s="36" t="str">
        <x:v>5000.00</x:v>
      </x:c>
      <x:c r="G33" s="36" t="str"/>
    </x:row>
    <x:row r="34" ht="60" customHeight="1">
      <x:c r="A34" s="36" t="str">
        <x:v>Charges</x:v>
      </x:c>
      <x:c r="B34" s="36" t="str">
        <x:v>Fine amount</x:v>
      </x:c>
      <x:c r="C34" s="36" t="str">
        <x:v>Optional</x:v>
      </x:c>
      <x:c r="D34" s="36" t="str">
        <x:v>money</x:v>
      </x:c>
      <x:c r="E34" s="36" t="str">
        <x:v>Authorized fine added to this charge; blank means zero.</x:v>
      </x:c>
      <x:c r="F34" s="36" t="str">
        <x:v>0.00</x:v>
      </x:c>
      <x:c r="G34" s="36" t="str"/>
    </x:row>
    <x:row r="35" ht="60" customHeight="1">
      <x:c r="A35" s="36" t="str">
        <x:v>Charges</x:v>
      </x:c>
      <x:c r="B35" s="36" t="str">
        <x:v>Tax amount</x:v>
      </x:c>
      <x:c r="C35" s="36" t="str">
        <x:v>Optional</x:v>
      </x:c>
      <x:c r="D35" s="36" t="str">
        <x:v>money</x:v>
      </x:c>
      <x:c r="E35" s="36" t="str">
        <x:v>Approved tax amount in currency units; not a percentage.</x:v>
      </x:c>
      <x:c r="F35" s="36" t="str">
        <x:v>0.00</x:v>
      </x:c>
      <x:c r="G35" s="36" t="str"/>
    </x:row>
    <x:row r="36" ht="60" customHeight="1">
      <x:c r="A36" s="36" t="str">
        <x:v>Charges</x:v>
      </x:c>
      <x:c r="B36" s="36" t="str">
        <x:v>Currency *</x:v>
      </x:c>
      <x:c r="C36" s="36" t="str">
        <x:v>Required</x:v>
      </x:c>
      <x:c r="D36" s="36" t="str">
        <x:v>code</x:v>
      </x:c>
      <x:c r="E36" s="36" t="str">
        <x:v>Currency, consistent with the structure, award and payment.</x:v>
      </x:c>
      <x:c r="F36" s="36" t="str">
        <x:v>INR</x:v>
      </x:c>
      <x:c r="G36" s="36" t="str"/>
    </x:row>
    <x:row r="37" ht="60" customHeight="1">
      <x:c r="A37" s="36" t="str">
        <x:v>Charges</x:v>
      </x:c>
      <x:c r="B37" s="36" t="str">
        <x:v>Adjustment approval reference</x:v>
      </x:c>
      <x:c r="C37" s="36" t="str">
        <x:v>Optional</x:v>
      </x:c>
      <x:c r="D37" s="36" t="str">
        <x:v>code</x:v>
      </x:c>
      <x:c r="E37" s="36" t="str">
        <x:v>Required when discounts or fines are entered.</x:v>
      </x:c>
      <x:c r="F37" s="36" t="str">
        <x:v>ADJ-APP-001</x:v>
      </x:c>
      <x:c r="G37" s="36" t="str"/>
    </x:row>
    <x:row r="38" ht="60" customHeight="1">
      <x:c r="A38" s="36" t="str">
        <x:v>Charges</x:v>
      </x:c>
      <x:c r="B38" s="36" t="str">
        <x:v>Charge notes</x:v>
      </x:c>
      <x:c r="C38" s="36" t="str">
        <x:v>Optional</x:v>
      </x:c>
      <x:c r="D38" s="36" t="str">
        <x:v>text</x:v>
      </x:c>
      <x:c r="E38" s="36" t="str">
        <x:v>Explain exceptional charge or adjustment details.</x:v>
      </x:c>
      <x:c r="F38" s="36" t="str"/>
      <x:c r="G38" s="36" t="str"/>
    </x:row>
    <x:row r="39" ht="60" customHeight="1">
      <x:c r="A39" s="36" t="str">
        <x:v>Charges</x:v>
      </x:c>
      <x:c r="B39" s="36" t="str">
        <x:v>Gross before scholarship</x:v>
      </x:c>
      <x:c r="C39" s="36" t="str">
        <x:v>Calculated</x:v>
      </x:c>
      <x:c r="D39" s="36" t="str">
        <x:v>calculated_money</x:v>
      </x:c>
      <x:c r="E39" s="36" t="str">
        <x:v>Base minus discount plus fine and tax, excluding scholarship reduction.</x:v>
      </x:c>
      <x:c r="F39" s="36" t="str">
        <x:v>24000.00</x:v>
      </x:c>
      <x:c r="G39" s="36" t="str"/>
    </x:row>
    <x:row r="40" ht="60" customHeight="1">
      <x:c r="A40" s="36" t="str">
        <x:v>Charges</x:v>
      </x:c>
      <x:c r="B40" s="36" t="str">
        <x:v>Net payable after scholarship</x:v>
      </x:c>
      <x:c r="C40" s="36" t="str">
        <x:v>Calculated</x:v>
      </x:c>
      <x:c r="D40" s="36" t="str">
        <x:v>calculated_money</x:v>
      </x:c>
      <x:c r="E40" s="36" t="str">
        <x:v>Gross before scholarship minus Scholarship applied.</x:v>
      </x:c>
      <x:c r="F40" s="36" t="str">
        <x:v>19000.00</x:v>
      </x:c>
      <x:c r="G40" s="36" t="str"/>
    </x:row>
    <x:row r="41" ht="60" customHeight="1">
      <x:c r="A41" s="36" t="str">
        <x:v>Charges</x:v>
      </x:c>
      <x:c r="B41" s="36" t="str">
        <x:v>Settled payment allocated</x:v>
      </x:c>
      <x:c r="C41" s="36" t="str">
        <x:v>Calculated</x:v>
      </x:c>
      <x:c r="D41" s="36" t="str">
        <x:v>calculated_money</x:v>
      </x:c>
      <x:c r="E41" s="36" t="str">
        <x:v>Sum of allocations to this charge from settled payments only.</x:v>
      </x:c>
      <x:c r="F41" s="36" t="str">
        <x:v>10000.00</x:v>
      </x:c>
      <x:c r="G41" s="36" t="str"/>
    </x:row>
    <x:row r="42" ht="60" customHeight="1">
      <x:c r="A42" s="36" t="str">
        <x:v>Charges</x:v>
      </x:c>
      <x:c r="B42" s="36" t="str">
        <x:v>Outstanding balance</x:v>
      </x:c>
      <x:c r="C42" s="36" t="str">
        <x:v>Calculated</x:v>
      </x:c>
      <x:c r="D42" s="36" t="str">
        <x:v>calculated_money</x:v>
      </x:c>
      <x:c r="E42" s="36" t="str">
        <x:v>Net payable minus settled payment allocations; negative means overpaid.</x:v>
      </x:c>
      <x:c r="F42" s="36" t="str">
        <x:v>9000.00</x:v>
      </x:c>
      <x:c r="G42" s="36" t="str"/>
    </x:row>
    <x:row r="43" ht="60" customHeight="1">
      <x:c r="A43" s="36" t="str">
        <x:v>Payments</x:v>
      </x:c>
      <x:c r="B43" s="36" t="str">
        <x:v>Payment code *</x:v>
      </x:c>
      <x:c r="C43" s="36" t="str">
        <x:v>Required</x:v>
      </x:c>
      <x:c r="D43" s="36" t="str">
        <x:v>code</x:v>
      </x:c>
      <x:c r="E43" s="36" t="str">
        <x:v>Unique payment reference, reused by allocations.</x:v>
      </x:c>
      <x:c r="F43" s="36" t="str">
        <x:v>PAY-0001</x:v>
      </x:c>
      <x:c r="G43" s="36" t="str"/>
    </x:row>
    <x:row r="44" ht="60" customHeight="1">
      <x:c r="A44" s="36" t="str">
        <x:v>Payments</x:v>
      </x:c>
      <x:c r="B44" s="36" t="str">
        <x:v>Student code *</x:v>
      </x:c>
      <x:c r="C44" s="36" t="str">
        <x:v>Required</x:v>
      </x:c>
      <x:c r="D44" s="36" t="str">
        <x:v>code</x:v>
      </x:c>
      <x:c r="E44" s="36" t="str">
        <x:v>Student whose payment was received.</x:v>
      </x:c>
      <x:c r="F44" s="36" t="str">
        <x:v>STU-0001</x:v>
      </x:c>
      <x:c r="G44" s="36" t="str">
        <x:v>Students.student_code</x:v>
      </x:c>
    </x:row>
    <x:row r="45" ht="60" customHeight="1">
      <x:c r="A45" s="36" t="str">
        <x:v>Payments</x:v>
      </x:c>
      <x:c r="B45" s="36" t="str">
        <x:v>Payment date *</x:v>
      </x:c>
      <x:c r="C45" s="36" t="str">
        <x:v>Required</x:v>
      </x:c>
      <x:c r="D45" s="36" t="str">
        <x:v>YYYY-MM-DD</x:v>
      </x:c>
      <x:c r="E45" s="36" t="str">
        <x:v>Date funds were received or the transaction was initiated.</x:v>
      </x:c>
      <x:c r="F45" s="36" t="str">
        <x:v>2026-07-10</x:v>
      </x:c>
      <x:c r="G45" s="36" t="str"/>
    </x:row>
    <x:row r="46" ht="60" customHeight="1">
      <x:c r="A46" s="36" t="str">
        <x:v>Payments</x:v>
      </x:c>
      <x:c r="B46" s="36" t="str">
        <x:v>Payment amount *</x:v>
      </x:c>
      <x:c r="C46" s="36" t="str">
        <x:v>Required</x:v>
      </x:c>
      <x:c r="D46" s="36" t="str">
        <x:v>money</x:v>
      </x:c>
      <x:c r="E46" s="36" t="str">
        <x:v>Total transaction amount, not a per-head split.</x:v>
      </x:c>
      <x:c r="F46" s="36" t="str">
        <x:v>10000.00</x:v>
      </x:c>
      <x:c r="G46" s="36" t="str"/>
    </x:row>
    <x:row r="47" ht="60" customHeight="1">
      <x:c r="A47" s="36" t="str">
        <x:v>Payments</x:v>
      </x:c>
      <x:c r="B47" s="36" t="str">
        <x:v>Currency *</x:v>
      </x:c>
      <x:c r="C47" s="36" t="str">
        <x:v>Required</x:v>
      </x:c>
      <x:c r="D47" s="36" t="str">
        <x:v>code</x:v>
      </x:c>
      <x:c r="E47" s="36" t="str">
        <x:v>Currency, consistent with the charges paid.</x:v>
      </x:c>
      <x:c r="F47" s="36" t="str">
        <x:v>INR</x:v>
      </x:c>
      <x:c r="G47" s="36" t="str"/>
    </x:row>
    <x:row r="48" ht="60" customHeight="1">
      <x:c r="A48" s="36" t="str">
        <x:v>Payments</x:v>
      </x:c>
      <x:c r="B48" s="36" t="str">
        <x:v>Payment method *</x:v>
      </x:c>
      <x:c r="C48" s="36" t="str">
        <x:v>Required</x:v>
      </x:c>
      <x:c r="D48" s="36" t="str">
        <x:v>text</x:v>
      </x:c>
      <x:c r="E48" s="36" t="str">
        <x:v>How the payment was received.</x:v>
      </x:c>
      <x:c r="F48" s="36" t="str">
        <x:v>upi</x:v>
      </x:c>
      <x:c r="G48" s="36" t="str">
        <x:v>cash, bank_transfer, upi, card, cheque</x:v>
      </x:c>
    </x:row>
    <x:row r="49" ht="60" customHeight="1">
      <x:c r="A49" s="36" t="str">
        <x:v>Payments</x:v>
      </x:c>
      <x:c r="B49" s="36" t="str">
        <x:v>Transaction reference</x:v>
      </x:c>
      <x:c r="C49" s="36" t="str">
        <x:v>Optional</x:v>
      </x:c>
      <x:c r="D49" s="36" t="str">
        <x:v>code</x:v>
      </x:c>
      <x:c r="E49" s="36" t="str">
        <x:v>Bank, UPI, card or cheque reference; required for non-cash.</x:v>
      </x:c>
      <x:c r="F49" s="36" t="str">
        <x:v>UTR-EXAMPLE-001</x:v>
      </x:c>
      <x:c r="G49" s="36" t="str"/>
    </x:row>
    <x:row r="50" ht="60" customHeight="1">
      <x:c r="A50" s="36" t="str">
        <x:v>Payments</x:v>
      </x:c>
      <x:c r="B50" s="36" t="str">
        <x:v>Payment status *</x:v>
      </x:c>
      <x:c r="C50" s="36" t="str">
        <x:v>Required</x:v>
      </x:c>
      <x:c r="D50" s="36" t="str">
        <x:v>text</x:v>
      </x:c>
      <x:c r="E50" s="36" t="str">
        <x:v>Only settled payments count as received for balances.</x:v>
      </x:c>
      <x:c r="F50" s="36" t="str">
        <x:v>settled</x:v>
      </x:c>
      <x:c r="G50" s="36" t="str">
        <x:v>pending, settled, failed</x:v>
      </x:c>
    </x:row>
    <x:row r="51" ht="60" customHeight="1">
      <x:c r="A51" s="36" t="str">
        <x:v>Payments</x:v>
      </x:c>
      <x:c r="B51" s="36" t="str">
        <x:v>Receipt number</x:v>
      </x:c>
      <x:c r="C51" s="36" t="str">
        <x:v>Optional</x:v>
      </x:c>
      <x:c r="D51" s="36" t="str">
        <x:v>code</x:v>
      </x:c>
      <x:c r="E51" s="36" t="str">
        <x:v>Official receipt number for settled payments; must be unique.</x:v>
      </x:c>
      <x:c r="F51" s="36" t="str">
        <x:v>RCT-2026-0001</x:v>
      </x:c>
      <x:c r="G51" s="36" t="str"/>
    </x:row>
    <x:row r="52" ht="60" customHeight="1">
      <x:c r="A52" s="36" t="str">
        <x:v>Payments</x:v>
      </x:c>
      <x:c r="B52" s="36" t="str">
        <x:v>Receipt date</x:v>
      </x:c>
      <x:c r="C52" s="36" t="str">
        <x:v>Optional</x:v>
      </x:c>
      <x:c r="D52" s="36" t="str">
        <x:v>YYYY-MM-DD</x:v>
      </x:c>
      <x:c r="E52" s="36" t="str">
        <x:v>Date the official receipt was issued.</x:v>
      </x:c>
      <x:c r="F52" s="36" t="str">
        <x:v>2026-07-10</x:v>
      </x:c>
      <x:c r="G52" s="36" t="str"/>
    </x:row>
    <x:row r="53" ht="60" customHeight="1">
      <x:c r="A53" s="36" t="str">
        <x:v>Payments</x:v>
      </x:c>
      <x:c r="B53" s="36" t="str">
        <x:v>Received by employee</x:v>
      </x:c>
      <x:c r="C53" s="36" t="str">
        <x:v>Optional</x:v>
      </x:c>
      <x:c r="D53" s="36" t="str">
        <x:v>code</x:v>
      </x:c>
      <x:c r="E53" s="36" t="str">
        <x:v>College employee recording the transaction.</x:v>
      </x:c>
      <x:c r="F53" s="36" t="str">
        <x:v>EMP-0002</x:v>
      </x:c>
      <x:c r="G53" s="36" t="str">
        <x:v>Employees.employee_code</x:v>
      </x:c>
    </x:row>
    <x:row r="54" ht="60" customHeight="1">
      <x:c r="A54" s="36" t="str">
        <x:v>Payments</x:v>
      </x:c>
      <x:c r="B54" s="36" t="str">
        <x:v>Payment notes</x:v>
      </x:c>
      <x:c r="C54" s="36" t="str">
        <x:v>Optional</x:v>
      </x:c>
      <x:c r="D54" s="36" t="str">
        <x:v>text</x:v>
      </x:c>
      <x:c r="E54" s="36" t="str">
        <x:v>Reconciliation remarks or pending clearance details.</x:v>
      </x:c>
      <x:c r="F54" s="36" t="str"/>
      <x:c r="G54" s="36" t="str"/>
    </x:row>
    <x:row r="55" ht="60" customHeight="1">
      <x:c r="A55" s="36" t="str">
        <x:v>Allocations</x:v>
      </x:c>
      <x:c r="B55" s="36" t="str">
        <x:v>Allocation code *</x:v>
      </x:c>
      <x:c r="C55" s="36" t="str">
        <x:v>Required</x:v>
      </x:c>
      <x:c r="D55" s="36" t="str">
        <x:v>code</x:v>
      </x:c>
      <x:c r="E55" s="36" t="str">
        <x:v>Unique allocation record code.</x:v>
      </x:c>
      <x:c r="F55" s="36" t="str">
        <x:v>ALLOC-0001</x:v>
      </x:c>
      <x:c r="G55" s="36" t="str"/>
    </x:row>
    <x:row r="56" ht="60" customHeight="1">
      <x:c r="A56" s="36" t="str">
        <x:v>Allocations</x:v>
      </x:c>
      <x:c r="B56" s="36" t="str">
        <x:v>Payment code *</x:v>
      </x:c>
      <x:c r="C56" s="36" t="str">
        <x:v>Required</x:v>
      </x:c>
      <x:c r="D56" s="36" t="str">
        <x:v>code</x:v>
      </x:c>
      <x:c r="E56" s="36" t="str">
        <x:v>Payment record in the Payments tab.</x:v>
      </x:c>
      <x:c r="F56" s="36" t="str">
        <x:v>PAY-0001</x:v>
      </x:c>
      <x:c r="G56" s="36" t="str">
        <x:v>Payments.payment_code</x:v>
      </x:c>
    </x:row>
    <x:row r="57" ht="60" customHeight="1">
      <x:c r="A57" s="36" t="str">
        <x:v>Allocations</x:v>
      </x:c>
      <x:c r="B57" s="36" t="str">
        <x:v>Charge code *</x:v>
      </x:c>
      <x:c r="C57" s="36" t="str">
        <x:v>Required</x:v>
      </x:c>
      <x:c r="D57" s="36" t="str">
        <x:v>code</x:v>
      </x:c>
      <x:c r="E57" s="36" t="str">
        <x:v>Charge record in the Charges tab.</x:v>
      </x:c>
      <x:c r="F57" s="36" t="str">
        <x:v>CHG-0001</x:v>
      </x:c>
      <x:c r="G57" s="36" t="str">
        <x:v>Charges.charge_code</x:v>
      </x:c>
    </x:row>
    <x:row r="58" ht="60" customHeight="1">
      <x:c r="A58" s="36" t="str">
        <x:v>Allocations</x:v>
      </x:c>
      <x:c r="B58" s="36" t="str">
        <x:v>Allocated amount *</x:v>
      </x:c>
      <x:c r="C58" s="36" t="str">
        <x:v>Required</x:v>
      </x:c>
      <x:c r="D58" s="36" t="str">
        <x:v>money</x:v>
      </x:c>
      <x:c r="E58" s="36" t="str">
        <x:v>Portion of this payment applied to this charge; must be positive.</x:v>
      </x:c>
      <x:c r="F58" s="36" t="str">
        <x:v>10000.00</x:v>
      </x:c>
      <x:c r="G58" s="36" t="str"/>
    </x:row>
    <x:row r="59" ht="60" customHeight="1">
      <x:c r="A59" s="36" t="str">
        <x:v>Allocations</x:v>
      </x:c>
      <x:c r="B59" s="36" t="str">
        <x:v>Allocation notes</x:v>
      </x:c>
      <x:c r="C59" s="36" t="str">
        <x:v>Optional</x:v>
      </x:c>
      <x:c r="D59" s="36" t="str">
        <x:v>text</x:v>
      </x:c>
      <x:c r="E59" s="36" t="str">
        <x:v>Reason for a special split or allocation.</x:v>
      </x:c>
      <x:c r="F59" s="36" t="str"/>
      <x:c r="G59" s="36" t="str"/>
    </x:row>
    <x:row r="60" ht="60" customHeight="1">
      <x:c r="A60" s="36" t="str">
        <x:v>Allocations</x:v>
      </x:c>
      <x:c r="B60" s="36" t="str">
        <x:v>Settled allocated amount</x:v>
      </x:c>
      <x:c r="C60" s="36" t="str">
        <x:v>Calculated</x:v>
      </x:c>
      <x:c r="D60" s="36" t="str">
        <x:v>calculated_money</x:v>
      </x:c>
      <x:c r="E60" s="36" t="str">
        <x:v>Allocated amount when the payment is settled; otherwise zero.</x:v>
      </x:c>
      <x:c r="F60" s="36" t="str">
        <x:v>10000.00</x:v>
      </x:c>
      <x:c r="G60" s="36" t="str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</x:sheetData>
  <x:pageMargins left="0.7" right="0.7" top="0.75" bottom="0.75" header="0.3" footer="0.3"/>
</x:worksheet>
</file>